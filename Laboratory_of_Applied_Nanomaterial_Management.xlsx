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ruppedukh-my.sharepoint.com/personal/hin_sophea_rupp_edu_kh/Documents/IQA Team/11th_Sep_2026/Lab managment/"/>
    </mc:Choice>
  </mc:AlternateContent>
  <xr:revisionPtr revIDLastSave="0" documentId="11_0EDB9B5BB043DD61CF9C0446A2C3C8509C04DD51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Dashboard" sheetId="1" r:id="rId1"/>
    <sheet name="Chemical Inventory" sheetId="2" r:id="rId2"/>
    <sheet name="Chemical Usage Log" sheetId="3" r:id="rId3"/>
    <sheet name="Instrument Inventory" sheetId="4" r:id="rId4"/>
    <sheet name="Maintenance Log" sheetId="5" r:id="rId5"/>
    <sheet name="Lab Booking" sheetId="6" r:id="rId6"/>
    <sheet name="Weekly Planner" sheetId="7" r:id="rId7"/>
    <sheet name="Lists" sheetId="8" r:id="rId8"/>
    <sheet name="Read Me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02" i="6" l="1"/>
  <c r="I202" i="6"/>
  <c r="H202" i="6"/>
  <c r="K201" i="6"/>
  <c r="I201" i="6"/>
  <c r="H201" i="6"/>
  <c r="K200" i="6"/>
  <c r="I200" i="6"/>
  <c r="H200" i="6"/>
  <c r="K199" i="6"/>
  <c r="I199" i="6"/>
  <c r="H199" i="6"/>
  <c r="K198" i="6"/>
  <c r="I198" i="6"/>
  <c r="H198" i="6"/>
  <c r="K197" i="6"/>
  <c r="I197" i="6"/>
  <c r="H197" i="6"/>
  <c r="K196" i="6"/>
  <c r="I196" i="6"/>
  <c r="H196" i="6"/>
  <c r="K195" i="6"/>
  <c r="I195" i="6"/>
  <c r="H195" i="6"/>
  <c r="K194" i="6"/>
  <c r="I194" i="6"/>
  <c r="H194" i="6"/>
  <c r="K193" i="6"/>
  <c r="I193" i="6"/>
  <c r="H193" i="6"/>
  <c r="K192" i="6"/>
  <c r="I192" i="6"/>
  <c r="H192" i="6"/>
  <c r="K191" i="6"/>
  <c r="I191" i="6"/>
  <c r="H191" i="6"/>
  <c r="K190" i="6"/>
  <c r="I190" i="6"/>
  <c r="H190" i="6"/>
  <c r="K189" i="6"/>
  <c r="I189" i="6"/>
  <c r="H189" i="6"/>
  <c r="K188" i="6"/>
  <c r="I188" i="6"/>
  <c r="H188" i="6"/>
  <c r="K187" i="6"/>
  <c r="I187" i="6"/>
  <c r="H187" i="6"/>
  <c r="K186" i="6"/>
  <c r="I186" i="6"/>
  <c r="H186" i="6"/>
  <c r="K185" i="6"/>
  <c r="I185" i="6"/>
  <c r="H185" i="6"/>
  <c r="K184" i="6"/>
  <c r="I184" i="6"/>
  <c r="H184" i="6"/>
  <c r="K183" i="6"/>
  <c r="I183" i="6"/>
  <c r="H183" i="6"/>
  <c r="K182" i="6"/>
  <c r="I182" i="6"/>
  <c r="H182" i="6"/>
  <c r="K181" i="6"/>
  <c r="I181" i="6"/>
  <c r="H181" i="6"/>
  <c r="K180" i="6"/>
  <c r="I180" i="6"/>
  <c r="H180" i="6"/>
  <c r="K179" i="6"/>
  <c r="I179" i="6"/>
  <c r="H179" i="6"/>
  <c r="K178" i="6"/>
  <c r="I178" i="6"/>
  <c r="H178" i="6"/>
  <c r="K177" i="6"/>
  <c r="I177" i="6"/>
  <c r="H177" i="6"/>
  <c r="K176" i="6"/>
  <c r="I176" i="6"/>
  <c r="H176" i="6"/>
  <c r="K175" i="6"/>
  <c r="I175" i="6"/>
  <c r="H175" i="6"/>
  <c r="K174" i="6"/>
  <c r="I174" i="6"/>
  <c r="H174" i="6"/>
  <c r="K173" i="6"/>
  <c r="I173" i="6"/>
  <c r="H173" i="6"/>
  <c r="K172" i="6"/>
  <c r="I172" i="6"/>
  <c r="H172" i="6"/>
  <c r="K171" i="6"/>
  <c r="I171" i="6"/>
  <c r="H171" i="6"/>
  <c r="K170" i="6"/>
  <c r="I170" i="6"/>
  <c r="H170" i="6"/>
  <c r="K169" i="6"/>
  <c r="I169" i="6"/>
  <c r="H169" i="6"/>
  <c r="K168" i="6"/>
  <c r="I168" i="6"/>
  <c r="H168" i="6"/>
  <c r="K167" i="6"/>
  <c r="I167" i="6"/>
  <c r="H167" i="6"/>
  <c r="K166" i="6"/>
  <c r="I166" i="6"/>
  <c r="H166" i="6"/>
  <c r="K165" i="6"/>
  <c r="I165" i="6"/>
  <c r="H165" i="6"/>
  <c r="K164" i="6"/>
  <c r="I164" i="6"/>
  <c r="H164" i="6"/>
  <c r="K163" i="6"/>
  <c r="I163" i="6"/>
  <c r="H163" i="6"/>
  <c r="K162" i="6"/>
  <c r="I162" i="6"/>
  <c r="H162" i="6"/>
  <c r="K161" i="6"/>
  <c r="I161" i="6"/>
  <c r="H161" i="6"/>
  <c r="K160" i="6"/>
  <c r="I160" i="6"/>
  <c r="H160" i="6"/>
  <c r="K159" i="6"/>
  <c r="I159" i="6"/>
  <c r="H159" i="6"/>
  <c r="K158" i="6"/>
  <c r="I158" i="6"/>
  <c r="H158" i="6"/>
  <c r="K157" i="6"/>
  <c r="I157" i="6"/>
  <c r="H157" i="6"/>
  <c r="K156" i="6"/>
  <c r="I156" i="6"/>
  <c r="H156" i="6"/>
  <c r="K155" i="6"/>
  <c r="I155" i="6"/>
  <c r="H155" i="6"/>
  <c r="K154" i="6"/>
  <c r="I154" i="6"/>
  <c r="H154" i="6"/>
  <c r="K153" i="6"/>
  <c r="I153" i="6"/>
  <c r="H153" i="6"/>
  <c r="K152" i="6"/>
  <c r="I152" i="6"/>
  <c r="H152" i="6"/>
  <c r="K151" i="6"/>
  <c r="I151" i="6"/>
  <c r="H151" i="6"/>
  <c r="K150" i="6"/>
  <c r="I150" i="6"/>
  <c r="H150" i="6"/>
  <c r="K149" i="6"/>
  <c r="I149" i="6"/>
  <c r="H149" i="6"/>
  <c r="K148" i="6"/>
  <c r="I148" i="6"/>
  <c r="H148" i="6"/>
  <c r="K147" i="6"/>
  <c r="I147" i="6"/>
  <c r="H147" i="6"/>
  <c r="K146" i="6"/>
  <c r="I146" i="6"/>
  <c r="H146" i="6"/>
  <c r="K145" i="6"/>
  <c r="I145" i="6"/>
  <c r="H145" i="6"/>
  <c r="K144" i="6"/>
  <c r="I144" i="6"/>
  <c r="H144" i="6"/>
  <c r="K143" i="6"/>
  <c r="I143" i="6"/>
  <c r="H143" i="6"/>
  <c r="K142" i="6"/>
  <c r="I142" i="6"/>
  <c r="H142" i="6"/>
  <c r="K141" i="6"/>
  <c r="I141" i="6"/>
  <c r="H141" i="6"/>
  <c r="K140" i="6"/>
  <c r="I140" i="6"/>
  <c r="H140" i="6"/>
  <c r="K139" i="6"/>
  <c r="I139" i="6"/>
  <c r="H139" i="6"/>
  <c r="K138" i="6"/>
  <c r="I138" i="6"/>
  <c r="H138" i="6"/>
  <c r="K137" i="6"/>
  <c r="I137" i="6"/>
  <c r="H137" i="6"/>
  <c r="K136" i="6"/>
  <c r="I136" i="6"/>
  <c r="H136" i="6"/>
  <c r="K135" i="6"/>
  <c r="I135" i="6"/>
  <c r="H135" i="6"/>
  <c r="K134" i="6"/>
  <c r="I134" i="6"/>
  <c r="H134" i="6"/>
  <c r="K133" i="6"/>
  <c r="I133" i="6"/>
  <c r="H133" i="6"/>
  <c r="K132" i="6"/>
  <c r="I132" i="6"/>
  <c r="H132" i="6"/>
  <c r="K131" i="6"/>
  <c r="I131" i="6"/>
  <c r="H131" i="6"/>
  <c r="K130" i="6"/>
  <c r="I130" i="6"/>
  <c r="H130" i="6"/>
  <c r="K129" i="6"/>
  <c r="I129" i="6"/>
  <c r="H129" i="6"/>
  <c r="K128" i="6"/>
  <c r="I128" i="6"/>
  <c r="H128" i="6"/>
  <c r="K127" i="6"/>
  <c r="I127" i="6"/>
  <c r="H127" i="6"/>
  <c r="K126" i="6"/>
  <c r="I126" i="6"/>
  <c r="H126" i="6"/>
  <c r="K125" i="6"/>
  <c r="I125" i="6"/>
  <c r="H125" i="6"/>
  <c r="K124" i="6"/>
  <c r="I124" i="6"/>
  <c r="H124" i="6"/>
  <c r="K123" i="6"/>
  <c r="I123" i="6"/>
  <c r="H123" i="6"/>
  <c r="K122" i="6"/>
  <c r="I122" i="6"/>
  <c r="H122" i="6"/>
  <c r="K121" i="6"/>
  <c r="I121" i="6"/>
  <c r="H121" i="6"/>
  <c r="K120" i="6"/>
  <c r="I120" i="6"/>
  <c r="H120" i="6"/>
  <c r="K119" i="6"/>
  <c r="I119" i="6"/>
  <c r="H119" i="6"/>
  <c r="K118" i="6"/>
  <c r="I118" i="6"/>
  <c r="H118" i="6"/>
  <c r="K117" i="6"/>
  <c r="I117" i="6"/>
  <c r="H117" i="6"/>
  <c r="K116" i="6"/>
  <c r="I116" i="6"/>
  <c r="H116" i="6"/>
  <c r="K115" i="6"/>
  <c r="I115" i="6"/>
  <c r="H115" i="6"/>
  <c r="K114" i="6"/>
  <c r="I114" i="6"/>
  <c r="H114" i="6"/>
  <c r="K113" i="6"/>
  <c r="I113" i="6"/>
  <c r="H113" i="6"/>
  <c r="K112" i="6"/>
  <c r="I112" i="6"/>
  <c r="H112" i="6"/>
  <c r="K111" i="6"/>
  <c r="I111" i="6"/>
  <c r="H111" i="6"/>
  <c r="K110" i="6"/>
  <c r="I110" i="6"/>
  <c r="H110" i="6"/>
  <c r="K109" i="6"/>
  <c r="I109" i="6"/>
  <c r="H109" i="6"/>
  <c r="K108" i="6"/>
  <c r="I108" i="6"/>
  <c r="H108" i="6"/>
  <c r="K107" i="6"/>
  <c r="I107" i="6"/>
  <c r="H107" i="6"/>
  <c r="K106" i="6"/>
  <c r="I106" i="6"/>
  <c r="H106" i="6"/>
  <c r="K105" i="6"/>
  <c r="I105" i="6"/>
  <c r="H105" i="6"/>
  <c r="K104" i="6"/>
  <c r="I104" i="6"/>
  <c r="H104" i="6"/>
  <c r="K103" i="6"/>
  <c r="I103" i="6"/>
  <c r="H103" i="6"/>
  <c r="K102" i="6"/>
  <c r="I102" i="6"/>
  <c r="H102" i="6"/>
  <c r="K101" i="6"/>
  <c r="I101" i="6"/>
  <c r="H101" i="6"/>
  <c r="K100" i="6"/>
  <c r="I100" i="6"/>
  <c r="H100" i="6"/>
  <c r="K99" i="6"/>
  <c r="I99" i="6"/>
  <c r="H99" i="6"/>
  <c r="K98" i="6"/>
  <c r="I98" i="6"/>
  <c r="H98" i="6"/>
  <c r="K97" i="6"/>
  <c r="I97" i="6"/>
  <c r="H97" i="6"/>
  <c r="K96" i="6"/>
  <c r="I96" i="6"/>
  <c r="H96" i="6"/>
  <c r="K95" i="6"/>
  <c r="I95" i="6"/>
  <c r="H95" i="6"/>
  <c r="K94" i="6"/>
  <c r="I94" i="6"/>
  <c r="H94" i="6"/>
  <c r="K93" i="6"/>
  <c r="I93" i="6"/>
  <c r="H93" i="6"/>
  <c r="K92" i="6"/>
  <c r="I92" i="6"/>
  <c r="H92" i="6"/>
  <c r="K91" i="6"/>
  <c r="I91" i="6"/>
  <c r="H91" i="6"/>
  <c r="K90" i="6"/>
  <c r="I90" i="6"/>
  <c r="H90" i="6"/>
  <c r="K89" i="6"/>
  <c r="I89" i="6"/>
  <c r="H89" i="6"/>
  <c r="K88" i="6"/>
  <c r="I88" i="6"/>
  <c r="H88" i="6"/>
  <c r="K87" i="6"/>
  <c r="I87" i="6"/>
  <c r="H87" i="6"/>
  <c r="K86" i="6"/>
  <c r="I86" i="6"/>
  <c r="H86" i="6"/>
  <c r="K85" i="6"/>
  <c r="I85" i="6"/>
  <c r="H85" i="6"/>
  <c r="K84" i="6"/>
  <c r="I84" i="6"/>
  <c r="H84" i="6"/>
  <c r="K83" i="6"/>
  <c r="I83" i="6"/>
  <c r="H83" i="6"/>
  <c r="K82" i="6"/>
  <c r="I82" i="6"/>
  <c r="H82" i="6"/>
  <c r="K81" i="6"/>
  <c r="I81" i="6"/>
  <c r="H81" i="6"/>
  <c r="K80" i="6"/>
  <c r="I80" i="6"/>
  <c r="H80" i="6"/>
  <c r="K79" i="6"/>
  <c r="I79" i="6"/>
  <c r="H79" i="6"/>
  <c r="K78" i="6"/>
  <c r="I78" i="6"/>
  <c r="H78" i="6"/>
  <c r="K77" i="6"/>
  <c r="I77" i="6"/>
  <c r="H77" i="6"/>
  <c r="K76" i="6"/>
  <c r="I76" i="6"/>
  <c r="H76" i="6"/>
  <c r="K75" i="6"/>
  <c r="I75" i="6"/>
  <c r="H75" i="6"/>
  <c r="K74" i="6"/>
  <c r="I74" i="6"/>
  <c r="H74" i="6"/>
  <c r="K73" i="6"/>
  <c r="I73" i="6"/>
  <c r="H73" i="6"/>
  <c r="K72" i="6"/>
  <c r="I72" i="6"/>
  <c r="H72" i="6"/>
  <c r="K71" i="6"/>
  <c r="I71" i="6"/>
  <c r="H71" i="6"/>
  <c r="K70" i="6"/>
  <c r="I70" i="6"/>
  <c r="H70" i="6"/>
  <c r="K69" i="6"/>
  <c r="I69" i="6"/>
  <c r="H69" i="6"/>
  <c r="K68" i="6"/>
  <c r="I68" i="6"/>
  <c r="H68" i="6"/>
  <c r="K67" i="6"/>
  <c r="I67" i="6"/>
  <c r="H67" i="6"/>
  <c r="K66" i="6"/>
  <c r="I66" i="6"/>
  <c r="H66" i="6"/>
  <c r="K65" i="6"/>
  <c r="I65" i="6"/>
  <c r="H65" i="6"/>
  <c r="K64" i="6"/>
  <c r="I64" i="6"/>
  <c r="H64" i="6"/>
  <c r="K63" i="6"/>
  <c r="I63" i="6"/>
  <c r="H63" i="6"/>
  <c r="K62" i="6"/>
  <c r="I62" i="6"/>
  <c r="H62" i="6"/>
  <c r="K61" i="6"/>
  <c r="I61" i="6"/>
  <c r="H61" i="6"/>
  <c r="K60" i="6"/>
  <c r="I60" i="6"/>
  <c r="H60" i="6"/>
  <c r="K59" i="6"/>
  <c r="I59" i="6"/>
  <c r="H59" i="6"/>
  <c r="K58" i="6"/>
  <c r="I58" i="6"/>
  <c r="H58" i="6"/>
  <c r="K57" i="6"/>
  <c r="I57" i="6"/>
  <c r="H57" i="6"/>
  <c r="K56" i="6"/>
  <c r="I56" i="6"/>
  <c r="H56" i="6"/>
  <c r="K55" i="6"/>
  <c r="I55" i="6"/>
  <c r="H55" i="6"/>
  <c r="K54" i="6"/>
  <c r="I54" i="6"/>
  <c r="H54" i="6"/>
  <c r="K53" i="6"/>
  <c r="I53" i="6"/>
  <c r="H53" i="6"/>
  <c r="K52" i="6"/>
  <c r="I52" i="6"/>
  <c r="H52" i="6"/>
  <c r="K51" i="6"/>
  <c r="I51" i="6"/>
  <c r="H51" i="6"/>
  <c r="K50" i="6"/>
  <c r="I50" i="6"/>
  <c r="H50" i="6"/>
  <c r="K49" i="6"/>
  <c r="I49" i="6"/>
  <c r="H49" i="6"/>
  <c r="K48" i="6"/>
  <c r="I48" i="6"/>
  <c r="H48" i="6"/>
  <c r="K47" i="6"/>
  <c r="I47" i="6"/>
  <c r="H47" i="6"/>
  <c r="K46" i="6"/>
  <c r="I46" i="6"/>
  <c r="H46" i="6"/>
  <c r="K45" i="6"/>
  <c r="I45" i="6"/>
  <c r="H45" i="6"/>
  <c r="K44" i="6"/>
  <c r="I44" i="6"/>
  <c r="H44" i="6"/>
  <c r="K43" i="6"/>
  <c r="I43" i="6"/>
  <c r="H43" i="6"/>
  <c r="K42" i="6"/>
  <c r="I42" i="6"/>
  <c r="H42" i="6"/>
  <c r="K41" i="6"/>
  <c r="I41" i="6"/>
  <c r="H41" i="6"/>
  <c r="K40" i="6"/>
  <c r="I40" i="6"/>
  <c r="H40" i="6"/>
  <c r="K39" i="6"/>
  <c r="I39" i="6"/>
  <c r="H39" i="6"/>
  <c r="K38" i="6"/>
  <c r="I38" i="6"/>
  <c r="H38" i="6"/>
  <c r="K37" i="6"/>
  <c r="I37" i="6"/>
  <c r="H37" i="6"/>
  <c r="K36" i="6"/>
  <c r="I36" i="6"/>
  <c r="H36" i="6"/>
  <c r="K35" i="6"/>
  <c r="I35" i="6"/>
  <c r="H35" i="6"/>
  <c r="K34" i="6"/>
  <c r="I34" i="6"/>
  <c r="H34" i="6"/>
  <c r="K33" i="6"/>
  <c r="I33" i="6"/>
  <c r="H33" i="6"/>
  <c r="K32" i="6"/>
  <c r="I32" i="6"/>
  <c r="H32" i="6"/>
  <c r="K31" i="6"/>
  <c r="I31" i="6"/>
  <c r="H31" i="6"/>
  <c r="K30" i="6"/>
  <c r="I30" i="6"/>
  <c r="H30" i="6"/>
  <c r="K29" i="6"/>
  <c r="I29" i="6"/>
  <c r="H29" i="6"/>
  <c r="K28" i="6"/>
  <c r="I28" i="6"/>
  <c r="H28" i="6"/>
  <c r="K27" i="6"/>
  <c r="I27" i="6"/>
  <c r="H27" i="6"/>
  <c r="K26" i="6"/>
  <c r="I26" i="6"/>
  <c r="H26" i="6"/>
  <c r="K25" i="6"/>
  <c r="I25" i="6"/>
  <c r="H25" i="6"/>
  <c r="K24" i="6"/>
  <c r="I24" i="6"/>
  <c r="H24" i="6"/>
  <c r="K23" i="6"/>
  <c r="I23" i="6"/>
  <c r="H23" i="6"/>
  <c r="K22" i="6"/>
  <c r="I22" i="6"/>
  <c r="H22" i="6"/>
  <c r="K21" i="6"/>
  <c r="I21" i="6"/>
  <c r="H21" i="6"/>
  <c r="K20" i="6"/>
  <c r="I20" i="6"/>
  <c r="H20" i="6"/>
  <c r="K19" i="6"/>
  <c r="I19" i="6"/>
  <c r="H19" i="6"/>
  <c r="K18" i="6"/>
  <c r="I18" i="6"/>
  <c r="H18" i="6"/>
  <c r="K17" i="6"/>
  <c r="I17" i="6"/>
  <c r="H17" i="6"/>
  <c r="K16" i="6"/>
  <c r="I16" i="6"/>
  <c r="H16" i="6"/>
  <c r="K15" i="6"/>
  <c r="I15" i="6"/>
  <c r="H15" i="6"/>
  <c r="K14" i="6"/>
  <c r="I14" i="6"/>
  <c r="H14" i="6"/>
  <c r="K13" i="6"/>
  <c r="I13" i="6"/>
  <c r="H13" i="6"/>
  <c r="K12" i="6"/>
  <c r="I12" i="6"/>
  <c r="H12" i="6"/>
  <c r="K11" i="6"/>
  <c r="I11" i="6"/>
  <c r="H11" i="6"/>
  <c r="K10" i="6"/>
  <c r="I10" i="6"/>
  <c r="H10" i="6"/>
  <c r="K9" i="6"/>
  <c r="I9" i="6"/>
  <c r="H9" i="6"/>
  <c r="K8" i="6"/>
  <c r="I8" i="6"/>
  <c r="H8" i="6"/>
  <c r="K7" i="6"/>
  <c r="I7" i="6"/>
  <c r="H7" i="6"/>
  <c r="K6" i="6"/>
  <c r="I6" i="6"/>
  <c r="H6" i="6"/>
  <c r="K5" i="6"/>
  <c r="I5" i="6"/>
  <c r="H5" i="6"/>
  <c r="K4" i="6"/>
  <c r="I4" i="6"/>
  <c r="H4" i="6"/>
  <c r="K3" i="6"/>
  <c r="I3" i="6"/>
  <c r="H3" i="6"/>
  <c r="D202" i="5"/>
  <c r="D201" i="5"/>
  <c r="D200" i="5"/>
  <c r="D199" i="5"/>
  <c r="D198" i="5"/>
  <c r="D197" i="5"/>
  <c r="D196" i="5"/>
  <c r="D195" i="5"/>
  <c r="D194" i="5"/>
  <c r="D193" i="5"/>
  <c r="D192" i="5"/>
  <c r="D191" i="5"/>
  <c r="D190" i="5"/>
  <c r="D189" i="5"/>
  <c r="D188" i="5"/>
  <c r="D187" i="5"/>
  <c r="D186" i="5"/>
  <c r="D185" i="5"/>
  <c r="D184" i="5"/>
  <c r="D183" i="5"/>
  <c r="D182" i="5"/>
  <c r="D181" i="5"/>
  <c r="D180" i="5"/>
  <c r="D179" i="5"/>
  <c r="D178" i="5"/>
  <c r="D177" i="5"/>
  <c r="D176" i="5"/>
  <c r="D175" i="5"/>
  <c r="D174" i="5"/>
  <c r="D173" i="5"/>
  <c r="D172" i="5"/>
  <c r="D171" i="5"/>
  <c r="D170" i="5"/>
  <c r="D169" i="5"/>
  <c r="D168" i="5"/>
  <c r="D167" i="5"/>
  <c r="D166" i="5"/>
  <c r="D165" i="5"/>
  <c r="D164" i="5"/>
  <c r="D163" i="5"/>
  <c r="D162" i="5"/>
  <c r="D161" i="5"/>
  <c r="D160" i="5"/>
  <c r="D159" i="5"/>
  <c r="D158" i="5"/>
  <c r="D157" i="5"/>
  <c r="D156" i="5"/>
  <c r="D155" i="5"/>
  <c r="D154" i="5"/>
  <c r="D153" i="5"/>
  <c r="D152" i="5"/>
  <c r="D151" i="5"/>
  <c r="D150" i="5"/>
  <c r="D149" i="5"/>
  <c r="D148" i="5"/>
  <c r="D147" i="5"/>
  <c r="D146" i="5"/>
  <c r="D145" i="5"/>
  <c r="D144" i="5"/>
  <c r="D143" i="5"/>
  <c r="D142" i="5"/>
  <c r="D141" i="5"/>
  <c r="D140" i="5"/>
  <c r="D139" i="5"/>
  <c r="D138" i="5"/>
  <c r="D137" i="5"/>
  <c r="D136" i="5"/>
  <c r="D135" i="5"/>
  <c r="D134" i="5"/>
  <c r="D133" i="5"/>
  <c r="D132" i="5"/>
  <c r="D131" i="5"/>
  <c r="D130" i="5"/>
  <c r="D129" i="5"/>
  <c r="D128" i="5"/>
  <c r="D127" i="5"/>
  <c r="D126" i="5"/>
  <c r="D125" i="5"/>
  <c r="D124" i="5"/>
  <c r="D123" i="5"/>
  <c r="D122" i="5"/>
  <c r="D121" i="5"/>
  <c r="D120" i="5"/>
  <c r="D119" i="5"/>
  <c r="D118" i="5"/>
  <c r="D117" i="5"/>
  <c r="D116" i="5"/>
  <c r="D115" i="5"/>
  <c r="D114" i="5"/>
  <c r="D113" i="5"/>
  <c r="D112" i="5"/>
  <c r="D111" i="5"/>
  <c r="D110" i="5"/>
  <c r="D109" i="5"/>
  <c r="D108" i="5"/>
  <c r="D107" i="5"/>
  <c r="D106" i="5"/>
  <c r="D105" i="5"/>
  <c r="D104" i="5"/>
  <c r="D103" i="5"/>
  <c r="D102" i="5"/>
  <c r="D101" i="5"/>
  <c r="D100" i="5"/>
  <c r="D99" i="5"/>
  <c r="D98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R202" i="4"/>
  <c r="O202" i="4"/>
  <c r="R201" i="4"/>
  <c r="O201" i="4"/>
  <c r="R200" i="4"/>
  <c r="O200" i="4"/>
  <c r="R199" i="4"/>
  <c r="O199" i="4"/>
  <c r="R198" i="4"/>
  <c r="O198" i="4"/>
  <c r="R197" i="4"/>
  <c r="O197" i="4"/>
  <c r="R196" i="4"/>
  <c r="O196" i="4"/>
  <c r="R195" i="4"/>
  <c r="O195" i="4"/>
  <c r="R194" i="4"/>
  <c r="O194" i="4"/>
  <c r="R193" i="4"/>
  <c r="O193" i="4"/>
  <c r="R192" i="4"/>
  <c r="O192" i="4"/>
  <c r="R191" i="4"/>
  <c r="O191" i="4"/>
  <c r="R190" i="4"/>
  <c r="O190" i="4"/>
  <c r="R189" i="4"/>
  <c r="O189" i="4"/>
  <c r="R188" i="4"/>
  <c r="O188" i="4"/>
  <c r="R187" i="4"/>
  <c r="O187" i="4"/>
  <c r="R186" i="4"/>
  <c r="O186" i="4"/>
  <c r="R185" i="4"/>
  <c r="O185" i="4"/>
  <c r="R184" i="4"/>
  <c r="O184" i="4"/>
  <c r="R183" i="4"/>
  <c r="O183" i="4"/>
  <c r="R182" i="4"/>
  <c r="O182" i="4"/>
  <c r="R181" i="4"/>
  <c r="O181" i="4"/>
  <c r="R180" i="4"/>
  <c r="O180" i="4"/>
  <c r="R179" i="4"/>
  <c r="O179" i="4"/>
  <c r="R178" i="4"/>
  <c r="O178" i="4"/>
  <c r="R177" i="4"/>
  <c r="O177" i="4"/>
  <c r="R176" i="4"/>
  <c r="O176" i="4"/>
  <c r="R175" i="4"/>
  <c r="O175" i="4"/>
  <c r="R174" i="4"/>
  <c r="O174" i="4"/>
  <c r="R173" i="4"/>
  <c r="O173" i="4"/>
  <c r="R172" i="4"/>
  <c r="O172" i="4"/>
  <c r="R171" i="4"/>
  <c r="O171" i="4"/>
  <c r="R170" i="4"/>
  <c r="O170" i="4"/>
  <c r="R169" i="4"/>
  <c r="O169" i="4"/>
  <c r="R168" i="4"/>
  <c r="O168" i="4"/>
  <c r="R167" i="4"/>
  <c r="O167" i="4"/>
  <c r="R166" i="4"/>
  <c r="O166" i="4"/>
  <c r="R165" i="4"/>
  <c r="O165" i="4"/>
  <c r="R164" i="4"/>
  <c r="O164" i="4"/>
  <c r="R163" i="4"/>
  <c r="O163" i="4"/>
  <c r="R162" i="4"/>
  <c r="O162" i="4"/>
  <c r="R161" i="4"/>
  <c r="O161" i="4"/>
  <c r="R160" i="4"/>
  <c r="O160" i="4"/>
  <c r="R159" i="4"/>
  <c r="O159" i="4"/>
  <c r="R158" i="4"/>
  <c r="O158" i="4"/>
  <c r="R157" i="4"/>
  <c r="O157" i="4"/>
  <c r="R156" i="4"/>
  <c r="O156" i="4"/>
  <c r="R155" i="4"/>
  <c r="O155" i="4"/>
  <c r="R154" i="4"/>
  <c r="O154" i="4"/>
  <c r="R153" i="4"/>
  <c r="O153" i="4"/>
  <c r="R152" i="4"/>
  <c r="O152" i="4"/>
  <c r="R151" i="4"/>
  <c r="O151" i="4"/>
  <c r="R150" i="4"/>
  <c r="O150" i="4"/>
  <c r="R149" i="4"/>
  <c r="O149" i="4"/>
  <c r="R148" i="4"/>
  <c r="O148" i="4"/>
  <c r="R147" i="4"/>
  <c r="O147" i="4"/>
  <c r="R146" i="4"/>
  <c r="O146" i="4"/>
  <c r="R145" i="4"/>
  <c r="O145" i="4"/>
  <c r="R144" i="4"/>
  <c r="O144" i="4"/>
  <c r="R143" i="4"/>
  <c r="O143" i="4"/>
  <c r="R142" i="4"/>
  <c r="O142" i="4"/>
  <c r="R141" i="4"/>
  <c r="O141" i="4"/>
  <c r="R140" i="4"/>
  <c r="O140" i="4"/>
  <c r="R139" i="4"/>
  <c r="O139" i="4"/>
  <c r="R138" i="4"/>
  <c r="O138" i="4"/>
  <c r="R137" i="4"/>
  <c r="O137" i="4"/>
  <c r="R136" i="4"/>
  <c r="O136" i="4"/>
  <c r="R135" i="4"/>
  <c r="O135" i="4"/>
  <c r="R134" i="4"/>
  <c r="O134" i="4"/>
  <c r="R133" i="4"/>
  <c r="O133" i="4"/>
  <c r="R132" i="4"/>
  <c r="O132" i="4"/>
  <c r="R131" i="4"/>
  <c r="O131" i="4"/>
  <c r="R130" i="4"/>
  <c r="O130" i="4"/>
  <c r="R129" i="4"/>
  <c r="O129" i="4"/>
  <c r="R128" i="4"/>
  <c r="O128" i="4"/>
  <c r="R127" i="4"/>
  <c r="O127" i="4"/>
  <c r="R126" i="4"/>
  <c r="O126" i="4"/>
  <c r="R125" i="4"/>
  <c r="O125" i="4"/>
  <c r="R124" i="4"/>
  <c r="O124" i="4"/>
  <c r="R123" i="4"/>
  <c r="O123" i="4"/>
  <c r="R122" i="4"/>
  <c r="O122" i="4"/>
  <c r="R121" i="4"/>
  <c r="O121" i="4"/>
  <c r="R120" i="4"/>
  <c r="O120" i="4"/>
  <c r="R119" i="4"/>
  <c r="O119" i="4"/>
  <c r="R118" i="4"/>
  <c r="O118" i="4"/>
  <c r="R117" i="4"/>
  <c r="O117" i="4"/>
  <c r="R116" i="4"/>
  <c r="O116" i="4"/>
  <c r="R115" i="4"/>
  <c r="O115" i="4"/>
  <c r="R114" i="4"/>
  <c r="O114" i="4"/>
  <c r="R113" i="4"/>
  <c r="O113" i="4"/>
  <c r="R112" i="4"/>
  <c r="O112" i="4"/>
  <c r="R111" i="4"/>
  <c r="O111" i="4"/>
  <c r="R110" i="4"/>
  <c r="O110" i="4"/>
  <c r="R109" i="4"/>
  <c r="O109" i="4"/>
  <c r="R108" i="4"/>
  <c r="O108" i="4"/>
  <c r="R107" i="4"/>
  <c r="O107" i="4"/>
  <c r="R106" i="4"/>
  <c r="O106" i="4"/>
  <c r="R105" i="4"/>
  <c r="O105" i="4"/>
  <c r="R104" i="4"/>
  <c r="O104" i="4"/>
  <c r="R103" i="4"/>
  <c r="O103" i="4"/>
  <c r="R102" i="4"/>
  <c r="O102" i="4"/>
  <c r="R101" i="4"/>
  <c r="O101" i="4"/>
  <c r="R100" i="4"/>
  <c r="O100" i="4"/>
  <c r="R99" i="4"/>
  <c r="O99" i="4"/>
  <c r="R98" i="4"/>
  <c r="O98" i="4"/>
  <c r="R97" i="4"/>
  <c r="O97" i="4"/>
  <c r="R96" i="4"/>
  <c r="O96" i="4"/>
  <c r="R95" i="4"/>
  <c r="O95" i="4"/>
  <c r="R94" i="4"/>
  <c r="O94" i="4"/>
  <c r="R93" i="4"/>
  <c r="O93" i="4"/>
  <c r="R92" i="4"/>
  <c r="O92" i="4"/>
  <c r="R91" i="4"/>
  <c r="O91" i="4"/>
  <c r="R90" i="4"/>
  <c r="O90" i="4"/>
  <c r="R89" i="4"/>
  <c r="O89" i="4"/>
  <c r="R88" i="4"/>
  <c r="O88" i="4"/>
  <c r="R87" i="4"/>
  <c r="O87" i="4"/>
  <c r="R86" i="4"/>
  <c r="O86" i="4"/>
  <c r="R85" i="4"/>
  <c r="O85" i="4"/>
  <c r="R84" i="4"/>
  <c r="O84" i="4"/>
  <c r="R83" i="4"/>
  <c r="O83" i="4"/>
  <c r="R82" i="4"/>
  <c r="O82" i="4"/>
  <c r="R81" i="4"/>
  <c r="O81" i="4"/>
  <c r="R80" i="4"/>
  <c r="O80" i="4"/>
  <c r="R79" i="4"/>
  <c r="O79" i="4"/>
  <c r="R78" i="4"/>
  <c r="O78" i="4"/>
  <c r="R77" i="4"/>
  <c r="O77" i="4"/>
  <c r="R76" i="4"/>
  <c r="O76" i="4"/>
  <c r="R75" i="4"/>
  <c r="O75" i="4"/>
  <c r="R74" i="4"/>
  <c r="O74" i="4"/>
  <c r="R73" i="4"/>
  <c r="O73" i="4"/>
  <c r="R72" i="4"/>
  <c r="O72" i="4"/>
  <c r="R71" i="4"/>
  <c r="O71" i="4"/>
  <c r="R70" i="4"/>
  <c r="O70" i="4"/>
  <c r="R69" i="4"/>
  <c r="O69" i="4"/>
  <c r="R68" i="4"/>
  <c r="O68" i="4"/>
  <c r="R67" i="4"/>
  <c r="O67" i="4"/>
  <c r="R66" i="4"/>
  <c r="O66" i="4"/>
  <c r="R65" i="4"/>
  <c r="O65" i="4"/>
  <c r="R64" i="4"/>
  <c r="O64" i="4"/>
  <c r="R63" i="4"/>
  <c r="O63" i="4"/>
  <c r="R62" i="4"/>
  <c r="O62" i="4"/>
  <c r="R61" i="4"/>
  <c r="O61" i="4"/>
  <c r="R60" i="4"/>
  <c r="O60" i="4"/>
  <c r="R59" i="4"/>
  <c r="O59" i="4"/>
  <c r="R58" i="4"/>
  <c r="O58" i="4"/>
  <c r="R57" i="4"/>
  <c r="O57" i="4"/>
  <c r="R56" i="4"/>
  <c r="O56" i="4"/>
  <c r="R55" i="4"/>
  <c r="O55" i="4"/>
  <c r="R54" i="4"/>
  <c r="O54" i="4"/>
  <c r="R53" i="4"/>
  <c r="O53" i="4"/>
  <c r="R52" i="4"/>
  <c r="O52" i="4"/>
  <c r="R51" i="4"/>
  <c r="O51" i="4"/>
  <c r="R50" i="4"/>
  <c r="O50" i="4"/>
  <c r="R49" i="4"/>
  <c r="O49" i="4"/>
  <c r="R48" i="4"/>
  <c r="O48" i="4"/>
  <c r="R47" i="4"/>
  <c r="O47" i="4"/>
  <c r="R46" i="4"/>
  <c r="O46" i="4"/>
  <c r="R45" i="4"/>
  <c r="O45" i="4"/>
  <c r="R44" i="4"/>
  <c r="O44" i="4"/>
  <c r="R43" i="4"/>
  <c r="O43" i="4"/>
  <c r="R42" i="4"/>
  <c r="O42" i="4"/>
  <c r="R41" i="4"/>
  <c r="O41" i="4"/>
  <c r="R40" i="4"/>
  <c r="O40" i="4"/>
  <c r="R39" i="4"/>
  <c r="O39" i="4"/>
  <c r="R38" i="4"/>
  <c r="O38" i="4"/>
  <c r="R37" i="4"/>
  <c r="O37" i="4"/>
  <c r="R36" i="4"/>
  <c r="O36" i="4"/>
  <c r="R35" i="4"/>
  <c r="O35" i="4"/>
  <c r="R34" i="4"/>
  <c r="O34" i="4"/>
  <c r="R33" i="4"/>
  <c r="O33" i="4"/>
  <c r="R32" i="4"/>
  <c r="O32" i="4"/>
  <c r="R31" i="4"/>
  <c r="O31" i="4"/>
  <c r="R30" i="4"/>
  <c r="O30" i="4"/>
  <c r="R29" i="4"/>
  <c r="O29" i="4"/>
  <c r="R28" i="4"/>
  <c r="O28" i="4"/>
  <c r="R27" i="4"/>
  <c r="O27" i="4"/>
  <c r="R26" i="4"/>
  <c r="O26" i="4"/>
  <c r="R25" i="4"/>
  <c r="O25" i="4"/>
  <c r="R24" i="4"/>
  <c r="O24" i="4"/>
  <c r="R23" i="4"/>
  <c r="O23" i="4"/>
  <c r="R22" i="4"/>
  <c r="O22" i="4"/>
  <c r="R21" i="4"/>
  <c r="O21" i="4"/>
  <c r="R20" i="4"/>
  <c r="O20" i="4"/>
  <c r="R19" i="4"/>
  <c r="O19" i="4"/>
  <c r="R18" i="4"/>
  <c r="O18" i="4"/>
  <c r="R17" i="4"/>
  <c r="O17" i="4"/>
  <c r="R16" i="4"/>
  <c r="O16" i="4"/>
  <c r="R15" i="4"/>
  <c r="O15" i="4"/>
  <c r="R14" i="4"/>
  <c r="O14" i="4"/>
  <c r="R13" i="4"/>
  <c r="O13" i="4"/>
  <c r="R12" i="4"/>
  <c r="O12" i="4"/>
  <c r="R11" i="4"/>
  <c r="O11" i="4"/>
  <c r="R10" i="4"/>
  <c r="O10" i="4"/>
  <c r="R9" i="4"/>
  <c r="O9" i="4"/>
  <c r="R8" i="4"/>
  <c r="O8" i="4"/>
  <c r="R7" i="4"/>
  <c r="O7" i="4"/>
  <c r="R6" i="4"/>
  <c r="O6" i="4"/>
  <c r="R5" i="4"/>
  <c r="O5" i="4"/>
  <c r="R4" i="4"/>
  <c r="O4" i="4"/>
  <c r="R3" i="4"/>
  <c r="O3" i="4"/>
  <c r="G202" i="3"/>
  <c r="D202" i="3"/>
  <c r="G201" i="3"/>
  <c r="D201" i="3"/>
  <c r="G200" i="3"/>
  <c r="D200" i="3"/>
  <c r="G199" i="3"/>
  <c r="D199" i="3"/>
  <c r="G198" i="3"/>
  <c r="D198" i="3"/>
  <c r="G197" i="3"/>
  <c r="D197" i="3"/>
  <c r="G196" i="3"/>
  <c r="D196" i="3"/>
  <c r="G195" i="3"/>
  <c r="D195" i="3"/>
  <c r="G194" i="3"/>
  <c r="D194" i="3"/>
  <c r="G193" i="3"/>
  <c r="D193" i="3"/>
  <c r="G192" i="3"/>
  <c r="D192" i="3"/>
  <c r="G191" i="3"/>
  <c r="D191" i="3"/>
  <c r="G190" i="3"/>
  <c r="D190" i="3"/>
  <c r="G189" i="3"/>
  <c r="D189" i="3"/>
  <c r="G188" i="3"/>
  <c r="D188" i="3"/>
  <c r="G187" i="3"/>
  <c r="D187" i="3"/>
  <c r="G186" i="3"/>
  <c r="D186" i="3"/>
  <c r="G185" i="3"/>
  <c r="D185" i="3"/>
  <c r="G184" i="3"/>
  <c r="D184" i="3"/>
  <c r="G183" i="3"/>
  <c r="D183" i="3"/>
  <c r="G182" i="3"/>
  <c r="D182" i="3"/>
  <c r="G181" i="3"/>
  <c r="D181" i="3"/>
  <c r="G180" i="3"/>
  <c r="D180" i="3"/>
  <c r="G179" i="3"/>
  <c r="D179" i="3"/>
  <c r="G178" i="3"/>
  <c r="D178" i="3"/>
  <c r="G177" i="3"/>
  <c r="D177" i="3"/>
  <c r="G176" i="3"/>
  <c r="D176" i="3"/>
  <c r="G175" i="3"/>
  <c r="D175" i="3"/>
  <c r="G174" i="3"/>
  <c r="D174" i="3"/>
  <c r="G173" i="3"/>
  <c r="D173" i="3"/>
  <c r="G172" i="3"/>
  <c r="D172" i="3"/>
  <c r="G171" i="3"/>
  <c r="D171" i="3"/>
  <c r="G170" i="3"/>
  <c r="D170" i="3"/>
  <c r="G169" i="3"/>
  <c r="D169" i="3"/>
  <c r="G168" i="3"/>
  <c r="D168" i="3"/>
  <c r="G167" i="3"/>
  <c r="D167" i="3"/>
  <c r="G166" i="3"/>
  <c r="D166" i="3"/>
  <c r="G165" i="3"/>
  <c r="D165" i="3"/>
  <c r="G164" i="3"/>
  <c r="D164" i="3"/>
  <c r="G163" i="3"/>
  <c r="D163" i="3"/>
  <c r="G162" i="3"/>
  <c r="D162" i="3"/>
  <c r="G161" i="3"/>
  <c r="D161" i="3"/>
  <c r="G160" i="3"/>
  <c r="D160" i="3"/>
  <c r="G159" i="3"/>
  <c r="D159" i="3"/>
  <c r="G158" i="3"/>
  <c r="D158" i="3"/>
  <c r="G157" i="3"/>
  <c r="D157" i="3"/>
  <c r="G156" i="3"/>
  <c r="D156" i="3"/>
  <c r="G155" i="3"/>
  <c r="D155" i="3"/>
  <c r="G154" i="3"/>
  <c r="D154" i="3"/>
  <c r="G153" i="3"/>
  <c r="D153" i="3"/>
  <c r="G152" i="3"/>
  <c r="D152" i="3"/>
  <c r="G151" i="3"/>
  <c r="D151" i="3"/>
  <c r="G150" i="3"/>
  <c r="D150" i="3"/>
  <c r="G149" i="3"/>
  <c r="D149" i="3"/>
  <c r="G148" i="3"/>
  <c r="D148" i="3"/>
  <c r="G147" i="3"/>
  <c r="D147" i="3"/>
  <c r="G146" i="3"/>
  <c r="D146" i="3"/>
  <c r="G145" i="3"/>
  <c r="D145" i="3"/>
  <c r="G144" i="3"/>
  <c r="D144" i="3"/>
  <c r="G143" i="3"/>
  <c r="D143" i="3"/>
  <c r="G142" i="3"/>
  <c r="D142" i="3"/>
  <c r="G141" i="3"/>
  <c r="D141" i="3"/>
  <c r="G140" i="3"/>
  <c r="D140" i="3"/>
  <c r="G139" i="3"/>
  <c r="D139" i="3"/>
  <c r="G138" i="3"/>
  <c r="D138" i="3"/>
  <c r="G137" i="3"/>
  <c r="D137" i="3"/>
  <c r="G136" i="3"/>
  <c r="D136" i="3"/>
  <c r="G135" i="3"/>
  <c r="D135" i="3"/>
  <c r="G134" i="3"/>
  <c r="D134" i="3"/>
  <c r="G133" i="3"/>
  <c r="D133" i="3"/>
  <c r="G132" i="3"/>
  <c r="D132" i="3"/>
  <c r="G131" i="3"/>
  <c r="D131" i="3"/>
  <c r="G130" i="3"/>
  <c r="D130" i="3"/>
  <c r="G129" i="3"/>
  <c r="D129" i="3"/>
  <c r="G128" i="3"/>
  <c r="D128" i="3"/>
  <c r="G127" i="3"/>
  <c r="D127" i="3"/>
  <c r="G126" i="3"/>
  <c r="D126" i="3"/>
  <c r="G125" i="3"/>
  <c r="D125" i="3"/>
  <c r="G124" i="3"/>
  <c r="D124" i="3"/>
  <c r="G123" i="3"/>
  <c r="D123" i="3"/>
  <c r="G122" i="3"/>
  <c r="D122" i="3"/>
  <c r="G121" i="3"/>
  <c r="D121" i="3"/>
  <c r="G120" i="3"/>
  <c r="D120" i="3"/>
  <c r="G119" i="3"/>
  <c r="D119" i="3"/>
  <c r="G118" i="3"/>
  <c r="D118" i="3"/>
  <c r="G117" i="3"/>
  <c r="D117" i="3"/>
  <c r="G116" i="3"/>
  <c r="D116" i="3"/>
  <c r="G115" i="3"/>
  <c r="D115" i="3"/>
  <c r="G114" i="3"/>
  <c r="D114" i="3"/>
  <c r="G113" i="3"/>
  <c r="D113" i="3"/>
  <c r="G112" i="3"/>
  <c r="D112" i="3"/>
  <c r="G111" i="3"/>
  <c r="D111" i="3"/>
  <c r="G110" i="3"/>
  <c r="D110" i="3"/>
  <c r="G109" i="3"/>
  <c r="D109" i="3"/>
  <c r="G108" i="3"/>
  <c r="D108" i="3"/>
  <c r="G107" i="3"/>
  <c r="D107" i="3"/>
  <c r="G106" i="3"/>
  <c r="D106" i="3"/>
  <c r="G105" i="3"/>
  <c r="D105" i="3"/>
  <c r="G104" i="3"/>
  <c r="D104" i="3"/>
  <c r="G103" i="3"/>
  <c r="D103" i="3"/>
  <c r="G102" i="3"/>
  <c r="D102" i="3"/>
  <c r="G101" i="3"/>
  <c r="D101" i="3"/>
  <c r="G100" i="3"/>
  <c r="D100" i="3"/>
  <c r="G99" i="3"/>
  <c r="D99" i="3"/>
  <c r="G98" i="3"/>
  <c r="D98" i="3"/>
  <c r="G97" i="3"/>
  <c r="D97" i="3"/>
  <c r="G96" i="3"/>
  <c r="D96" i="3"/>
  <c r="G95" i="3"/>
  <c r="D95" i="3"/>
  <c r="G94" i="3"/>
  <c r="D94" i="3"/>
  <c r="G93" i="3"/>
  <c r="D93" i="3"/>
  <c r="G92" i="3"/>
  <c r="D92" i="3"/>
  <c r="G91" i="3"/>
  <c r="D91" i="3"/>
  <c r="G90" i="3"/>
  <c r="D90" i="3"/>
  <c r="G89" i="3"/>
  <c r="D89" i="3"/>
  <c r="G88" i="3"/>
  <c r="D88" i="3"/>
  <c r="G87" i="3"/>
  <c r="D87" i="3"/>
  <c r="G86" i="3"/>
  <c r="D86" i="3"/>
  <c r="G85" i="3"/>
  <c r="D85" i="3"/>
  <c r="G84" i="3"/>
  <c r="D84" i="3"/>
  <c r="G83" i="3"/>
  <c r="D83" i="3"/>
  <c r="G82" i="3"/>
  <c r="D82" i="3"/>
  <c r="G81" i="3"/>
  <c r="D81" i="3"/>
  <c r="G80" i="3"/>
  <c r="D80" i="3"/>
  <c r="G79" i="3"/>
  <c r="D79" i="3"/>
  <c r="G78" i="3"/>
  <c r="D78" i="3"/>
  <c r="G77" i="3"/>
  <c r="D77" i="3"/>
  <c r="G76" i="3"/>
  <c r="D76" i="3"/>
  <c r="G75" i="3"/>
  <c r="D75" i="3"/>
  <c r="G74" i="3"/>
  <c r="D74" i="3"/>
  <c r="G73" i="3"/>
  <c r="D73" i="3"/>
  <c r="G72" i="3"/>
  <c r="D72" i="3"/>
  <c r="G71" i="3"/>
  <c r="D71" i="3"/>
  <c r="G70" i="3"/>
  <c r="D70" i="3"/>
  <c r="G69" i="3"/>
  <c r="D69" i="3"/>
  <c r="G68" i="3"/>
  <c r="D68" i="3"/>
  <c r="G67" i="3"/>
  <c r="D67" i="3"/>
  <c r="G66" i="3"/>
  <c r="D66" i="3"/>
  <c r="G65" i="3"/>
  <c r="D65" i="3"/>
  <c r="G64" i="3"/>
  <c r="D64" i="3"/>
  <c r="G63" i="3"/>
  <c r="D63" i="3"/>
  <c r="G62" i="3"/>
  <c r="D62" i="3"/>
  <c r="G61" i="3"/>
  <c r="D61" i="3"/>
  <c r="G60" i="3"/>
  <c r="D60" i="3"/>
  <c r="G59" i="3"/>
  <c r="D59" i="3"/>
  <c r="G58" i="3"/>
  <c r="D58" i="3"/>
  <c r="G57" i="3"/>
  <c r="D57" i="3"/>
  <c r="G56" i="3"/>
  <c r="D56" i="3"/>
  <c r="G55" i="3"/>
  <c r="D55" i="3"/>
  <c r="G54" i="3"/>
  <c r="D54" i="3"/>
  <c r="G53" i="3"/>
  <c r="D53" i="3"/>
  <c r="G52" i="3"/>
  <c r="D52" i="3"/>
  <c r="G51" i="3"/>
  <c r="D51" i="3"/>
  <c r="G50" i="3"/>
  <c r="D50" i="3"/>
  <c r="G49" i="3"/>
  <c r="D49" i="3"/>
  <c r="G48" i="3"/>
  <c r="D48" i="3"/>
  <c r="G47" i="3"/>
  <c r="D47" i="3"/>
  <c r="G46" i="3"/>
  <c r="D46" i="3"/>
  <c r="G45" i="3"/>
  <c r="D45" i="3"/>
  <c r="G44" i="3"/>
  <c r="D44" i="3"/>
  <c r="G43" i="3"/>
  <c r="D43" i="3"/>
  <c r="G42" i="3"/>
  <c r="D42" i="3"/>
  <c r="G41" i="3"/>
  <c r="D41" i="3"/>
  <c r="G40" i="3"/>
  <c r="D40" i="3"/>
  <c r="G39" i="3"/>
  <c r="D39" i="3"/>
  <c r="G38" i="3"/>
  <c r="D38" i="3"/>
  <c r="G37" i="3"/>
  <c r="D37" i="3"/>
  <c r="G36" i="3"/>
  <c r="D36" i="3"/>
  <c r="G35" i="3"/>
  <c r="D35" i="3"/>
  <c r="G34" i="3"/>
  <c r="D34" i="3"/>
  <c r="G33" i="3"/>
  <c r="D33" i="3"/>
  <c r="G32" i="3"/>
  <c r="D32" i="3"/>
  <c r="G31" i="3"/>
  <c r="D31" i="3"/>
  <c r="G30" i="3"/>
  <c r="D30" i="3"/>
  <c r="G29" i="3"/>
  <c r="D29" i="3"/>
  <c r="G28" i="3"/>
  <c r="D28" i="3"/>
  <c r="G27" i="3"/>
  <c r="D27" i="3"/>
  <c r="G26" i="3"/>
  <c r="D26" i="3"/>
  <c r="G25" i="3"/>
  <c r="D25" i="3"/>
  <c r="G24" i="3"/>
  <c r="D24" i="3"/>
  <c r="G23" i="3"/>
  <c r="D23" i="3"/>
  <c r="G22" i="3"/>
  <c r="D22" i="3"/>
  <c r="G21" i="3"/>
  <c r="D21" i="3"/>
  <c r="G20" i="3"/>
  <c r="D20" i="3"/>
  <c r="G19" i="3"/>
  <c r="D19" i="3"/>
  <c r="G18" i="3"/>
  <c r="D18" i="3"/>
  <c r="G17" i="3"/>
  <c r="D17" i="3"/>
  <c r="G16" i="3"/>
  <c r="D16" i="3"/>
  <c r="G15" i="3"/>
  <c r="D15" i="3"/>
  <c r="G14" i="3"/>
  <c r="D14" i="3"/>
  <c r="G13" i="3"/>
  <c r="D13" i="3"/>
  <c r="G12" i="3"/>
  <c r="D12" i="3"/>
  <c r="G11" i="3"/>
  <c r="D11" i="3"/>
  <c r="G10" i="3"/>
  <c r="D10" i="3"/>
  <c r="G9" i="3"/>
  <c r="D9" i="3"/>
  <c r="G8" i="3"/>
  <c r="D8" i="3"/>
  <c r="G7" i="3"/>
  <c r="D7" i="3"/>
  <c r="G6" i="3"/>
  <c r="D6" i="3"/>
  <c r="G5" i="3"/>
  <c r="D5" i="3"/>
  <c r="G4" i="3"/>
  <c r="D4" i="3"/>
  <c r="G3" i="3"/>
  <c r="D3" i="3"/>
  <c r="P202" i="2"/>
  <c r="N202" i="2"/>
  <c r="J202" i="2"/>
  <c r="O202" i="2" s="1"/>
  <c r="P201" i="2"/>
  <c r="N201" i="2"/>
  <c r="J201" i="2"/>
  <c r="O201" i="2" s="1"/>
  <c r="P200" i="2"/>
  <c r="N200" i="2"/>
  <c r="J200" i="2"/>
  <c r="O200" i="2" s="1"/>
  <c r="P199" i="2"/>
  <c r="O199" i="2"/>
  <c r="N199" i="2"/>
  <c r="J199" i="2"/>
  <c r="P198" i="2"/>
  <c r="O198" i="2"/>
  <c r="N198" i="2"/>
  <c r="J198" i="2"/>
  <c r="P197" i="2"/>
  <c r="O197" i="2"/>
  <c r="N197" i="2"/>
  <c r="J197" i="2"/>
  <c r="P196" i="2"/>
  <c r="O196" i="2"/>
  <c r="N196" i="2"/>
  <c r="J196" i="2"/>
  <c r="P195" i="2"/>
  <c r="O195" i="2"/>
  <c r="N195" i="2"/>
  <c r="J195" i="2"/>
  <c r="P194" i="2"/>
  <c r="O194" i="2"/>
  <c r="N194" i="2"/>
  <c r="J194" i="2"/>
  <c r="P193" i="2"/>
  <c r="O193" i="2"/>
  <c r="N193" i="2"/>
  <c r="J193" i="2"/>
  <c r="P192" i="2"/>
  <c r="O192" i="2"/>
  <c r="N192" i="2"/>
  <c r="J192" i="2"/>
  <c r="P191" i="2"/>
  <c r="O191" i="2"/>
  <c r="N191" i="2"/>
  <c r="J191" i="2"/>
  <c r="P190" i="2"/>
  <c r="O190" i="2"/>
  <c r="N190" i="2"/>
  <c r="J190" i="2"/>
  <c r="P189" i="2"/>
  <c r="O189" i="2"/>
  <c r="N189" i="2"/>
  <c r="J189" i="2"/>
  <c r="P188" i="2"/>
  <c r="O188" i="2"/>
  <c r="N188" i="2"/>
  <c r="J188" i="2"/>
  <c r="P187" i="2"/>
  <c r="O187" i="2"/>
  <c r="N187" i="2"/>
  <c r="J187" i="2"/>
  <c r="P186" i="2"/>
  <c r="O186" i="2"/>
  <c r="N186" i="2"/>
  <c r="J186" i="2"/>
  <c r="P185" i="2"/>
  <c r="O185" i="2"/>
  <c r="N185" i="2"/>
  <c r="J185" i="2"/>
  <c r="P184" i="2"/>
  <c r="O184" i="2"/>
  <c r="N184" i="2"/>
  <c r="J184" i="2"/>
  <c r="P183" i="2"/>
  <c r="O183" i="2"/>
  <c r="N183" i="2"/>
  <c r="J183" i="2"/>
  <c r="P182" i="2"/>
  <c r="O182" i="2"/>
  <c r="N182" i="2"/>
  <c r="J182" i="2"/>
  <c r="P181" i="2"/>
  <c r="O181" i="2"/>
  <c r="N181" i="2"/>
  <c r="J181" i="2"/>
  <c r="P180" i="2"/>
  <c r="O180" i="2"/>
  <c r="N180" i="2"/>
  <c r="J180" i="2"/>
  <c r="P179" i="2"/>
  <c r="O179" i="2"/>
  <c r="N179" i="2"/>
  <c r="J179" i="2"/>
  <c r="P178" i="2"/>
  <c r="O178" i="2"/>
  <c r="N178" i="2"/>
  <c r="J178" i="2"/>
  <c r="P177" i="2"/>
  <c r="O177" i="2"/>
  <c r="N177" i="2"/>
  <c r="J177" i="2"/>
  <c r="P176" i="2"/>
  <c r="O176" i="2"/>
  <c r="N176" i="2"/>
  <c r="J176" i="2"/>
  <c r="P175" i="2"/>
  <c r="O175" i="2"/>
  <c r="N175" i="2"/>
  <c r="J175" i="2"/>
  <c r="P174" i="2"/>
  <c r="O174" i="2"/>
  <c r="N174" i="2"/>
  <c r="J174" i="2"/>
  <c r="P173" i="2"/>
  <c r="O173" i="2"/>
  <c r="N173" i="2"/>
  <c r="J173" i="2"/>
  <c r="P172" i="2"/>
  <c r="O172" i="2"/>
  <c r="N172" i="2"/>
  <c r="J172" i="2"/>
  <c r="P171" i="2"/>
  <c r="O171" i="2"/>
  <c r="N171" i="2"/>
  <c r="J171" i="2"/>
  <c r="P170" i="2"/>
  <c r="O170" i="2"/>
  <c r="N170" i="2"/>
  <c r="J170" i="2"/>
  <c r="P169" i="2"/>
  <c r="O169" i="2"/>
  <c r="N169" i="2"/>
  <c r="J169" i="2"/>
  <c r="P168" i="2"/>
  <c r="O168" i="2"/>
  <c r="N168" i="2"/>
  <c r="J168" i="2"/>
  <c r="P167" i="2"/>
  <c r="O167" i="2"/>
  <c r="N167" i="2"/>
  <c r="J167" i="2"/>
  <c r="P166" i="2"/>
  <c r="O166" i="2"/>
  <c r="N166" i="2"/>
  <c r="J166" i="2"/>
  <c r="P165" i="2"/>
  <c r="O165" i="2"/>
  <c r="N165" i="2"/>
  <c r="J165" i="2"/>
  <c r="P164" i="2"/>
  <c r="O164" i="2"/>
  <c r="N164" i="2"/>
  <c r="J164" i="2"/>
  <c r="P163" i="2"/>
  <c r="O163" i="2"/>
  <c r="N163" i="2"/>
  <c r="J163" i="2"/>
  <c r="P162" i="2"/>
  <c r="O162" i="2"/>
  <c r="N162" i="2"/>
  <c r="J162" i="2"/>
  <c r="P161" i="2"/>
  <c r="O161" i="2"/>
  <c r="N161" i="2"/>
  <c r="J161" i="2"/>
  <c r="P160" i="2"/>
  <c r="O160" i="2"/>
  <c r="N160" i="2"/>
  <c r="J160" i="2"/>
  <c r="P159" i="2"/>
  <c r="O159" i="2"/>
  <c r="N159" i="2"/>
  <c r="J159" i="2"/>
  <c r="P158" i="2"/>
  <c r="O158" i="2"/>
  <c r="N158" i="2"/>
  <c r="J158" i="2"/>
  <c r="P157" i="2"/>
  <c r="O157" i="2"/>
  <c r="N157" i="2"/>
  <c r="J157" i="2"/>
  <c r="P156" i="2"/>
  <c r="O156" i="2"/>
  <c r="N156" i="2"/>
  <c r="J156" i="2"/>
  <c r="P155" i="2"/>
  <c r="O155" i="2"/>
  <c r="N155" i="2"/>
  <c r="J155" i="2"/>
  <c r="P154" i="2"/>
  <c r="O154" i="2"/>
  <c r="N154" i="2"/>
  <c r="J154" i="2"/>
  <c r="P153" i="2"/>
  <c r="O153" i="2"/>
  <c r="N153" i="2"/>
  <c r="J153" i="2"/>
  <c r="P152" i="2"/>
  <c r="O152" i="2"/>
  <c r="N152" i="2"/>
  <c r="J152" i="2"/>
  <c r="P151" i="2"/>
  <c r="O151" i="2"/>
  <c r="N151" i="2"/>
  <c r="J151" i="2"/>
  <c r="P150" i="2"/>
  <c r="O150" i="2"/>
  <c r="N150" i="2"/>
  <c r="J150" i="2"/>
  <c r="P149" i="2"/>
  <c r="O149" i="2"/>
  <c r="N149" i="2"/>
  <c r="J149" i="2"/>
  <c r="P148" i="2"/>
  <c r="O148" i="2"/>
  <c r="N148" i="2"/>
  <c r="J148" i="2"/>
  <c r="P147" i="2"/>
  <c r="O147" i="2"/>
  <c r="N147" i="2"/>
  <c r="J147" i="2"/>
  <c r="P146" i="2"/>
  <c r="O146" i="2"/>
  <c r="N146" i="2"/>
  <c r="J146" i="2"/>
  <c r="P145" i="2"/>
  <c r="O145" i="2"/>
  <c r="N145" i="2"/>
  <c r="J145" i="2"/>
  <c r="P144" i="2"/>
  <c r="O144" i="2"/>
  <c r="N144" i="2"/>
  <c r="J144" i="2"/>
  <c r="P143" i="2"/>
  <c r="O143" i="2"/>
  <c r="N143" i="2"/>
  <c r="J143" i="2"/>
  <c r="P142" i="2"/>
  <c r="O142" i="2"/>
  <c r="N142" i="2"/>
  <c r="J142" i="2"/>
  <c r="P141" i="2"/>
  <c r="O141" i="2"/>
  <c r="N141" i="2"/>
  <c r="J141" i="2"/>
  <c r="P140" i="2"/>
  <c r="O140" i="2"/>
  <c r="N140" i="2"/>
  <c r="J140" i="2"/>
  <c r="P139" i="2"/>
  <c r="O139" i="2"/>
  <c r="N139" i="2"/>
  <c r="J139" i="2"/>
  <c r="P138" i="2"/>
  <c r="O138" i="2"/>
  <c r="N138" i="2"/>
  <c r="J138" i="2"/>
  <c r="P137" i="2"/>
  <c r="O137" i="2"/>
  <c r="N137" i="2"/>
  <c r="J137" i="2"/>
  <c r="P136" i="2"/>
  <c r="O136" i="2"/>
  <c r="N136" i="2"/>
  <c r="J136" i="2"/>
  <c r="P135" i="2"/>
  <c r="O135" i="2"/>
  <c r="N135" i="2"/>
  <c r="J135" i="2"/>
  <c r="P134" i="2"/>
  <c r="O134" i="2"/>
  <c r="N134" i="2"/>
  <c r="J134" i="2"/>
  <c r="P133" i="2"/>
  <c r="O133" i="2"/>
  <c r="N133" i="2"/>
  <c r="J133" i="2"/>
  <c r="P132" i="2"/>
  <c r="O132" i="2"/>
  <c r="N132" i="2"/>
  <c r="J132" i="2"/>
  <c r="P131" i="2"/>
  <c r="O131" i="2"/>
  <c r="N131" i="2"/>
  <c r="J131" i="2"/>
  <c r="P130" i="2"/>
  <c r="O130" i="2"/>
  <c r="N130" i="2"/>
  <c r="J130" i="2"/>
  <c r="P129" i="2"/>
  <c r="O129" i="2"/>
  <c r="N129" i="2"/>
  <c r="J129" i="2"/>
  <c r="P128" i="2"/>
  <c r="O128" i="2"/>
  <c r="N128" i="2"/>
  <c r="J128" i="2"/>
  <c r="P127" i="2"/>
  <c r="O127" i="2"/>
  <c r="N127" i="2"/>
  <c r="J127" i="2"/>
  <c r="P126" i="2"/>
  <c r="O126" i="2"/>
  <c r="N126" i="2"/>
  <c r="J126" i="2"/>
  <c r="P125" i="2"/>
  <c r="O125" i="2"/>
  <c r="N125" i="2"/>
  <c r="J125" i="2"/>
  <c r="P124" i="2"/>
  <c r="O124" i="2"/>
  <c r="N124" i="2"/>
  <c r="J124" i="2"/>
  <c r="P123" i="2"/>
  <c r="O123" i="2"/>
  <c r="N123" i="2"/>
  <c r="J123" i="2"/>
  <c r="P122" i="2"/>
  <c r="O122" i="2"/>
  <c r="N122" i="2"/>
  <c r="J122" i="2"/>
  <c r="P121" i="2"/>
  <c r="O121" i="2"/>
  <c r="N121" i="2"/>
  <c r="J121" i="2"/>
  <c r="P120" i="2"/>
  <c r="O120" i="2"/>
  <c r="N120" i="2"/>
  <c r="J120" i="2"/>
  <c r="P119" i="2"/>
  <c r="O119" i="2"/>
  <c r="N119" i="2"/>
  <c r="J119" i="2"/>
  <c r="P118" i="2"/>
  <c r="O118" i="2"/>
  <c r="N118" i="2"/>
  <c r="J118" i="2"/>
  <c r="P117" i="2"/>
  <c r="O117" i="2"/>
  <c r="N117" i="2"/>
  <c r="J117" i="2"/>
  <c r="P116" i="2"/>
  <c r="O116" i="2"/>
  <c r="N116" i="2"/>
  <c r="J116" i="2"/>
  <c r="P115" i="2"/>
  <c r="O115" i="2"/>
  <c r="N115" i="2"/>
  <c r="J115" i="2"/>
  <c r="P114" i="2"/>
  <c r="O114" i="2"/>
  <c r="N114" i="2"/>
  <c r="J114" i="2"/>
  <c r="P113" i="2"/>
  <c r="O113" i="2"/>
  <c r="N113" i="2"/>
  <c r="J113" i="2"/>
  <c r="P112" i="2"/>
  <c r="O112" i="2"/>
  <c r="N112" i="2"/>
  <c r="J112" i="2"/>
  <c r="P111" i="2"/>
  <c r="O111" i="2"/>
  <c r="N111" i="2"/>
  <c r="J111" i="2"/>
  <c r="P110" i="2"/>
  <c r="O110" i="2"/>
  <c r="N110" i="2"/>
  <c r="J110" i="2"/>
  <c r="P109" i="2"/>
  <c r="O109" i="2"/>
  <c r="N109" i="2"/>
  <c r="J109" i="2"/>
  <c r="P108" i="2"/>
  <c r="O108" i="2"/>
  <c r="N108" i="2"/>
  <c r="J108" i="2"/>
  <c r="P107" i="2"/>
  <c r="O107" i="2"/>
  <c r="N107" i="2"/>
  <c r="J107" i="2"/>
  <c r="P106" i="2"/>
  <c r="O106" i="2"/>
  <c r="N106" i="2"/>
  <c r="J106" i="2"/>
  <c r="P105" i="2"/>
  <c r="O105" i="2"/>
  <c r="N105" i="2"/>
  <c r="J105" i="2"/>
  <c r="P104" i="2"/>
  <c r="O104" i="2"/>
  <c r="N104" i="2"/>
  <c r="J104" i="2"/>
  <c r="P103" i="2"/>
  <c r="O103" i="2"/>
  <c r="N103" i="2"/>
  <c r="J103" i="2"/>
  <c r="P102" i="2"/>
  <c r="O102" i="2"/>
  <c r="N102" i="2"/>
  <c r="J102" i="2"/>
  <c r="P101" i="2"/>
  <c r="O101" i="2"/>
  <c r="N101" i="2"/>
  <c r="J101" i="2"/>
  <c r="P100" i="2"/>
  <c r="O100" i="2"/>
  <c r="N100" i="2"/>
  <c r="J100" i="2"/>
  <c r="P99" i="2"/>
  <c r="O99" i="2"/>
  <c r="N99" i="2"/>
  <c r="J99" i="2"/>
  <c r="P98" i="2"/>
  <c r="O98" i="2"/>
  <c r="N98" i="2"/>
  <c r="J98" i="2"/>
  <c r="P97" i="2"/>
  <c r="O97" i="2"/>
  <c r="N97" i="2"/>
  <c r="J97" i="2"/>
  <c r="P96" i="2"/>
  <c r="O96" i="2"/>
  <c r="N96" i="2"/>
  <c r="J96" i="2"/>
  <c r="P95" i="2"/>
  <c r="O95" i="2"/>
  <c r="N95" i="2"/>
  <c r="J95" i="2"/>
  <c r="P94" i="2"/>
  <c r="O94" i="2"/>
  <c r="N94" i="2"/>
  <c r="J94" i="2"/>
  <c r="P93" i="2"/>
  <c r="O93" i="2"/>
  <c r="N93" i="2"/>
  <c r="J93" i="2"/>
  <c r="P92" i="2"/>
  <c r="O92" i="2"/>
  <c r="N92" i="2"/>
  <c r="J92" i="2"/>
  <c r="P91" i="2"/>
  <c r="O91" i="2"/>
  <c r="N91" i="2"/>
  <c r="J91" i="2"/>
  <c r="P90" i="2"/>
  <c r="O90" i="2"/>
  <c r="N90" i="2"/>
  <c r="J90" i="2"/>
  <c r="P89" i="2"/>
  <c r="O89" i="2"/>
  <c r="N89" i="2"/>
  <c r="J89" i="2"/>
  <c r="P88" i="2"/>
  <c r="O88" i="2"/>
  <c r="N88" i="2"/>
  <c r="J88" i="2"/>
  <c r="P87" i="2"/>
  <c r="O87" i="2"/>
  <c r="N87" i="2"/>
  <c r="J87" i="2"/>
  <c r="P86" i="2"/>
  <c r="O86" i="2"/>
  <c r="N86" i="2"/>
  <c r="J86" i="2"/>
  <c r="P85" i="2"/>
  <c r="O85" i="2"/>
  <c r="N85" i="2"/>
  <c r="J85" i="2"/>
  <c r="P84" i="2"/>
  <c r="O84" i="2"/>
  <c r="N84" i="2"/>
  <c r="J84" i="2"/>
  <c r="P83" i="2"/>
  <c r="O83" i="2"/>
  <c r="N83" i="2"/>
  <c r="J83" i="2"/>
  <c r="P82" i="2"/>
  <c r="O82" i="2"/>
  <c r="N82" i="2"/>
  <c r="J82" i="2"/>
  <c r="P81" i="2"/>
  <c r="O81" i="2"/>
  <c r="N81" i="2"/>
  <c r="J81" i="2"/>
  <c r="P80" i="2"/>
  <c r="O80" i="2"/>
  <c r="N80" i="2"/>
  <c r="J80" i="2"/>
  <c r="P79" i="2"/>
  <c r="O79" i="2"/>
  <c r="N79" i="2"/>
  <c r="J79" i="2"/>
  <c r="P78" i="2"/>
  <c r="O78" i="2"/>
  <c r="N78" i="2"/>
  <c r="J78" i="2"/>
  <c r="P77" i="2"/>
  <c r="O77" i="2"/>
  <c r="N77" i="2"/>
  <c r="J77" i="2"/>
  <c r="P76" i="2"/>
  <c r="O76" i="2"/>
  <c r="N76" i="2"/>
  <c r="J76" i="2"/>
  <c r="P75" i="2"/>
  <c r="O75" i="2"/>
  <c r="N75" i="2"/>
  <c r="J75" i="2"/>
  <c r="P74" i="2"/>
  <c r="O74" i="2"/>
  <c r="N74" i="2"/>
  <c r="J74" i="2"/>
  <c r="P73" i="2"/>
  <c r="O73" i="2"/>
  <c r="N73" i="2"/>
  <c r="J73" i="2"/>
  <c r="P72" i="2"/>
  <c r="O72" i="2"/>
  <c r="N72" i="2"/>
  <c r="J72" i="2"/>
  <c r="P71" i="2"/>
  <c r="O71" i="2"/>
  <c r="N71" i="2"/>
  <c r="J71" i="2"/>
  <c r="P70" i="2"/>
  <c r="O70" i="2"/>
  <c r="N70" i="2"/>
  <c r="J70" i="2"/>
  <c r="P69" i="2"/>
  <c r="O69" i="2"/>
  <c r="N69" i="2"/>
  <c r="J69" i="2"/>
  <c r="P68" i="2"/>
  <c r="O68" i="2"/>
  <c r="N68" i="2"/>
  <c r="J68" i="2"/>
  <c r="P67" i="2"/>
  <c r="O67" i="2"/>
  <c r="N67" i="2"/>
  <c r="J67" i="2"/>
  <c r="P66" i="2"/>
  <c r="O66" i="2"/>
  <c r="N66" i="2"/>
  <c r="J66" i="2"/>
  <c r="P65" i="2"/>
  <c r="O65" i="2"/>
  <c r="N65" i="2"/>
  <c r="J65" i="2"/>
  <c r="P64" i="2"/>
  <c r="O64" i="2"/>
  <c r="N64" i="2"/>
  <c r="J64" i="2"/>
  <c r="P63" i="2"/>
  <c r="O63" i="2"/>
  <c r="N63" i="2"/>
  <c r="J63" i="2"/>
  <c r="P62" i="2"/>
  <c r="O62" i="2"/>
  <c r="N62" i="2"/>
  <c r="J62" i="2"/>
  <c r="P61" i="2"/>
  <c r="O61" i="2"/>
  <c r="N61" i="2"/>
  <c r="J61" i="2"/>
  <c r="P60" i="2"/>
  <c r="O60" i="2"/>
  <c r="N60" i="2"/>
  <c r="J60" i="2"/>
  <c r="P59" i="2"/>
  <c r="O59" i="2"/>
  <c r="N59" i="2"/>
  <c r="J59" i="2"/>
  <c r="P58" i="2"/>
  <c r="O58" i="2"/>
  <c r="N58" i="2"/>
  <c r="J58" i="2"/>
  <c r="P57" i="2"/>
  <c r="O57" i="2"/>
  <c r="N57" i="2"/>
  <c r="J57" i="2"/>
  <c r="P56" i="2"/>
  <c r="O56" i="2"/>
  <c r="N56" i="2"/>
  <c r="J56" i="2"/>
  <c r="P55" i="2"/>
  <c r="O55" i="2"/>
  <c r="N55" i="2"/>
  <c r="J55" i="2"/>
  <c r="P54" i="2"/>
  <c r="O54" i="2"/>
  <c r="N54" i="2"/>
  <c r="J54" i="2"/>
  <c r="P53" i="2"/>
  <c r="O53" i="2"/>
  <c r="N53" i="2"/>
  <c r="J53" i="2"/>
  <c r="P52" i="2"/>
  <c r="O52" i="2"/>
  <c r="N52" i="2"/>
  <c r="J52" i="2"/>
  <c r="P51" i="2"/>
  <c r="O51" i="2"/>
  <c r="N51" i="2"/>
  <c r="J51" i="2"/>
  <c r="P50" i="2"/>
  <c r="O50" i="2"/>
  <c r="N50" i="2"/>
  <c r="J50" i="2"/>
  <c r="P49" i="2"/>
  <c r="O49" i="2"/>
  <c r="N49" i="2"/>
  <c r="J49" i="2"/>
  <c r="P48" i="2"/>
  <c r="O48" i="2"/>
  <c r="N48" i="2"/>
  <c r="J48" i="2"/>
  <c r="P47" i="2"/>
  <c r="O47" i="2"/>
  <c r="N47" i="2"/>
  <c r="J47" i="2"/>
  <c r="P46" i="2"/>
  <c r="O46" i="2"/>
  <c r="N46" i="2"/>
  <c r="J46" i="2"/>
  <c r="P45" i="2"/>
  <c r="O45" i="2"/>
  <c r="N45" i="2"/>
  <c r="J45" i="2"/>
  <c r="P44" i="2"/>
  <c r="O44" i="2"/>
  <c r="N44" i="2"/>
  <c r="J44" i="2"/>
  <c r="P43" i="2"/>
  <c r="O43" i="2"/>
  <c r="N43" i="2"/>
  <c r="J43" i="2"/>
  <c r="P42" i="2"/>
  <c r="O42" i="2"/>
  <c r="N42" i="2"/>
  <c r="J42" i="2"/>
  <c r="P41" i="2"/>
  <c r="O41" i="2"/>
  <c r="N41" i="2"/>
  <c r="J41" i="2"/>
  <c r="P40" i="2"/>
  <c r="O40" i="2"/>
  <c r="N40" i="2"/>
  <c r="J40" i="2"/>
  <c r="P39" i="2"/>
  <c r="O39" i="2"/>
  <c r="N39" i="2"/>
  <c r="J39" i="2"/>
  <c r="P38" i="2"/>
  <c r="O38" i="2"/>
  <c r="N38" i="2"/>
  <c r="J38" i="2"/>
  <c r="P37" i="2"/>
  <c r="O37" i="2"/>
  <c r="N37" i="2"/>
  <c r="J37" i="2"/>
  <c r="P36" i="2"/>
  <c r="O36" i="2"/>
  <c r="N36" i="2"/>
  <c r="J36" i="2"/>
  <c r="P35" i="2"/>
  <c r="O35" i="2"/>
  <c r="N35" i="2"/>
  <c r="J35" i="2"/>
  <c r="P34" i="2"/>
  <c r="O34" i="2"/>
  <c r="N34" i="2"/>
  <c r="J34" i="2"/>
  <c r="P33" i="2"/>
  <c r="O33" i="2"/>
  <c r="N33" i="2"/>
  <c r="J33" i="2"/>
  <c r="P32" i="2"/>
  <c r="O32" i="2"/>
  <c r="N32" i="2"/>
  <c r="J32" i="2"/>
  <c r="P31" i="2"/>
  <c r="O31" i="2"/>
  <c r="N31" i="2"/>
  <c r="J31" i="2"/>
  <c r="P30" i="2"/>
  <c r="O30" i="2"/>
  <c r="N30" i="2"/>
  <c r="J30" i="2"/>
  <c r="P29" i="2"/>
  <c r="O29" i="2"/>
  <c r="N29" i="2"/>
  <c r="J29" i="2"/>
  <c r="P28" i="2"/>
  <c r="O28" i="2"/>
  <c r="N28" i="2"/>
  <c r="J28" i="2"/>
  <c r="P27" i="2"/>
  <c r="O27" i="2"/>
  <c r="N27" i="2"/>
  <c r="J27" i="2"/>
  <c r="P26" i="2"/>
  <c r="O26" i="2"/>
  <c r="N26" i="2"/>
  <c r="J26" i="2"/>
  <c r="P25" i="2"/>
  <c r="O25" i="2"/>
  <c r="N25" i="2"/>
  <c r="J25" i="2"/>
  <c r="P24" i="2"/>
  <c r="O24" i="2"/>
  <c r="N24" i="2"/>
  <c r="J24" i="2"/>
  <c r="P23" i="2"/>
  <c r="O23" i="2"/>
  <c r="N23" i="2"/>
  <c r="J23" i="2"/>
  <c r="P22" i="2"/>
  <c r="O22" i="2"/>
  <c r="N22" i="2"/>
  <c r="J22" i="2"/>
  <c r="P21" i="2"/>
  <c r="O21" i="2"/>
  <c r="N21" i="2"/>
  <c r="J21" i="2"/>
  <c r="P20" i="2"/>
  <c r="O20" i="2"/>
  <c r="N20" i="2"/>
  <c r="J20" i="2"/>
  <c r="P19" i="2"/>
  <c r="O19" i="2"/>
  <c r="N19" i="2"/>
  <c r="J19" i="2"/>
  <c r="P18" i="2"/>
  <c r="O18" i="2"/>
  <c r="N18" i="2"/>
  <c r="J18" i="2"/>
  <c r="P17" i="2"/>
  <c r="O17" i="2"/>
  <c r="N17" i="2"/>
  <c r="J17" i="2"/>
  <c r="P16" i="2"/>
  <c r="O16" i="2"/>
  <c r="N16" i="2"/>
  <c r="J16" i="2"/>
  <c r="P15" i="2"/>
  <c r="O15" i="2"/>
  <c r="N15" i="2"/>
  <c r="J15" i="2"/>
  <c r="P14" i="2"/>
  <c r="O14" i="2"/>
  <c r="N14" i="2"/>
  <c r="J14" i="2"/>
  <c r="P13" i="2"/>
  <c r="O13" i="2"/>
  <c r="N13" i="2"/>
  <c r="J13" i="2"/>
  <c r="P12" i="2"/>
  <c r="O12" i="2"/>
  <c r="N12" i="2"/>
  <c r="J12" i="2"/>
  <c r="P11" i="2"/>
  <c r="O11" i="2"/>
  <c r="N11" i="2"/>
  <c r="J11" i="2"/>
  <c r="P10" i="2"/>
  <c r="O10" i="2"/>
  <c r="N10" i="2"/>
  <c r="J10" i="2"/>
  <c r="P9" i="2"/>
  <c r="O9" i="2"/>
  <c r="N9" i="2"/>
  <c r="J9" i="2"/>
  <c r="P8" i="2"/>
  <c r="O8" i="2"/>
  <c r="N8" i="2"/>
  <c r="J8" i="2"/>
  <c r="P7" i="2"/>
  <c r="O7" i="2"/>
  <c r="N7" i="2"/>
  <c r="J7" i="2"/>
  <c r="P6" i="2"/>
  <c r="O6" i="2"/>
  <c r="N6" i="2"/>
  <c r="J6" i="2"/>
  <c r="P5" i="2"/>
  <c r="O5" i="2"/>
  <c r="N5" i="2"/>
  <c r="J5" i="2"/>
  <c r="P4" i="2"/>
  <c r="O4" i="2"/>
  <c r="N4" i="2"/>
  <c r="J4" i="2"/>
  <c r="P3" i="2"/>
  <c r="O3" i="2"/>
  <c r="B14" i="1" s="1"/>
  <c r="N3" i="2"/>
  <c r="J3" i="2"/>
  <c r="D15" i="1"/>
  <c r="D14" i="1"/>
  <c r="D13" i="1"/>
  <c r="D12" i="1"/>
  <c r="E8" i="1"/>
  <c r="B8" i="1"/>
  <c r="H7" i="1"/>
  <c r="E7" i="1"/>
  <c r="B7" i="1"/>
  <c r="H6" i="1"/>
  <c r="E6" i="1"/>
  <c r="H5" i="1"/>
  <c r="E5" i="1"/>
  <c r="H4" i="1"/>
  <c r="E4" i="1"/>
  <c r="B4" i="1"/>
  <c r="B5" i="1" l="1"/>
  <c r="B6" i="1"/>
  <c r="B12" i="1"/>
  <c r="B13" i="1"/>
</calcChain>
</file>

<file path=xl/sharedStrings.xml><?xml version="1.0" encoding="utf-8"?>
<sst xmlns="http://schemas.openxmlformats.org/spreadsheetml/2006/main" count="206" uniqueCount="178">
  <si>
    <t>Laboratory of Applied Nanomaterial - Management Dashboard</t>
  </si>
  <si>
    <t>Chemical Inventory</t>
  </si>
  <si>
    <t>Value</t>
  </si>
  <si>
    <t>Instrument Management</t>
  </si>
  <si>
    <t>Booking</t>
  </si>
  <si>
    <t>Total Chemicals</t>
  </si>
  <si>
    <t>Total Instruments</t>
  </si>
  <si>
    <t>Bookings Today</t>
  </si>
  <si>
    <t>Low Stock</t>
  </si>
  <si>
    <t>Operational</t>
  </si>
  <si>
    <t>Approved Today</t>
  </si>
  <si>
    <t>Out of Stock</t>
  </si>
  <si>
    <t>Under Maintenance</t>
  </si>
  <si>
    <t>Conflicts</t>
  </si>
  <si>
    <t>Expired</t>
  </si>
  <si>
    <t>Out of Service</t>
  </si>
  <si>
    <t>Pending Approval</t>
  </si>
  <si>
    <t>Expiring &lt;=30 Days</t>
  </si>
  <si>
    <t>Calibration Overdue</t>
  </si>
  <si>
    <t>Chemical Status</t>
  </si>
  <si>
    <t>Count</t>
  </si>
  <si>
    <t>Instrument Status</t>
  </si>
  <si>
    <t>OK</t>
  </si>
  <si>
    <t>LOW STOCK</t>
  </si>
  <si>
    <t>OUT OF STOCK</t>
  </si>
  <si>
    <t>Calibration Due</t>
  </si>
  <si>
    <t>How to use this workbook</t>
  </si>
  <si>
    <t>1. Enter chemicals and instruments in their inventory sheets. Use the dropdowns provided.</t>
  </si>
  <si>
    <t>2. Record chemical movements, maintenance/calibration activities, and bookings. Dashboard indicators update automatically in Excel.</t>
  </si>
  <si>
    <t>Chemical Inventory Management</t>
  </si>
  <si>
    <t>Chemical ID</t>
  </si>
  <si>
    <t>Chemical Name</t>
  </si>
  <si>
    <t>CAS No.</t>
  </si>
  <si>
    <t>Grade / Purity</t>
  </si>
  <si>
    <t>Supplier</t>
  </si>
  <si>
    <t>Storage Location</t>
  </si>
  <si>
    <t>Hazard Class</t>
  </si>
  <si>
    <t>Unit</t>
  </si>
  <si>
    <t>Initial Qty</t>
  </si>
  <si>
    <t>Current Qty</t>
  </si>
  <si>
    <t>Minimum Stock</t>
  </si>
  <si>
    <t>Received Date</t>
  </si>
  <si>
    <t>Expiry Date</t>
  </si>
  <si>
    <t>Days to Expiry</t>
  </si>
  <si>
    <t>Stock Status</t>
  </si>
  <si>
    <t>Expiry Status</t>
  </si>
  <si>
    <t>SDS Available</t>
  </si>
  <si>
    <t>Responsible Person</t>
  </si>
  <si>
    <t>Last Updated</t>
  </si>
  <si>
    <t>Notes</t>
  </si>
  <si>
    <t>Chemical Receipt / Usage / Disposal Log</t>
  </si>
  <si>
    <t>Transaction ID</t>
  </si>
  <si>
    <t>Date</t>
  </si>
  <si>
    <t>Movement Type</t>
  </si>
  <si>
    <t>Quantity</t>
  </si>
  <si>
    <t>User</t>
  </si>
  <si>
    <t>Experiment / Purpose</t>
  </si>
  <si>
    <t>Reference / Waste Record</t>
  </si>
  <si>
    <t>Instrument Inventory Management</t>
  </si>
  <si>
    <t>Instrument ID</t>
  </si>
  <si>
    <t>Instrument Name</t>
  </si>
  <si>
    <t>Category</t>
  </si>
  <si>
    <t>Manufacturer</t>
  </si>
  <si>
    <t>Model</t>
  </si>
  <si>
    <t>Serial No.</t>
  </si>
  <si>
    <t>Location</t>
  </si>
  <si>
    <t>Purchase Date</t>
  </si>
  <si>
    <t>Status</t>
  </si>
  <si>
    <t>Booking Required</t>
  </si>
  <si>
    <t>Calibration Required</t>
  </si>
  <si>
    <t>Calibration Interval (Months)</t>
  </si>
  <si>
    <t>Last Calibration</t>
  </si>
  <si>
    <t>Next Calibration</t>
  </si>
  <si>
    <t>Maintenance Interval (Months)</t>
  </si>
  <si>
    <t>Last Maintenance</t>
  </si>
  <si>
    <t>Next Maintenance</t>
  </si>
  <si>
    <t>Work Instruction ID / Link</t>
  </si>
  <si>
    <t>Electrical Supply</t>
  </si>
  <si>
    <t>Instrument Maintenance / Calibration Log</t>
  </si>
  <si>
    <t>Record ID</t>
  </si>
  <si>
    <t>Activity Type</t>
  </si>
  <si>
    <t>Performed By</t>
  </si>
  <si>
    <t>Service Provider</t>
  </si>
  <si>
    <t>Finding / Problem</t>
  </si>
  <si>
    <t>Action Taken</t>
  </si>
  <si>
    <t>Parts Replaced</t>
  </si>
  <si>
    <t>Next Due Date</t>
  </si>
  <si>
    <t>Instrument Status After Service</t>
  </si>
  <si>
    <t>Laboratory &amp; Instrument Booking Schedule</t>
  </si>
  <si>
    <t>Booking ID</t>
  </si>
  <si>
    <t>Start Time</t>
  </si>
  <si>
    <t>End Time</t>
  </si>
  <si>
    <t>Member Name</t>
  </si>
  <si>
    <t>Purpose / Experiment</t>
  </si>
  <si>
    <t>Approval Status</t>
  </si>
  <si>
    <t>Conflict Check</t>
  </si>
  <si>
    <t>Weekly Laboratory Booking Planner (Visual View)</t>
  </si>
  <si>
    <t>Time</t>
  </si>
  <si>
    <t>Monday</t>
  </si>
  <si>
    <t>Tuesday</t>
  </si>
  <si>
    <t>Wednesday</t>
  </si>
  <si>
    <t>Thursday</t>
  </si>
  <si>
    <t>Friday</t>
  </si>
  <si>
    <t>Saturday</t>
  </si>
  <si>
    <t>Sunday</t>
  </si>
  <si>
    <t>08:00-09:00</t>
  </si>
  <si>
    <t>09:00-10:00</t>
  </si>
  <si>
    <t>10:00-11:00</t>
  </si>
  <si>
    <t>11:00-12:00</t>
  </si>
  <si>
    <t>12:00-13:00</t>
  </si>
  <si>
    <t>13:00-14:00</t>
  </si>
  <si>
    <t>14:00-15:00</t>
  </si>
  <si>
    <t>15:00-16:00</t>
  </si>
  <si>
    <t>16:00-17:00</t>
  </si>
  <si>
    <t>17:00-18:00</t>
  </si>
  <si>
    <t>Use of this visual planner</t>
  </si>
  <si>
    <t>Enter Booking ID / Instrument ID in the appropriate time block for an at-a-glance weekly view. The authoritative booking record remains the Lab Booking sheet. Update this planner after approval.</t>
  </si>
  <si>
    <t>Laboratory of Applied Nanomaterial - Management Lists</t>
  </si>
  <si>
    <t>Chemical Unit</t>
  </si>
  <si>
    <t>Yes/No</t>
  </si>
  <si>
    <t>Booking Approval</t>
  </si>
  <si>
    <t>Chemical Movement</t>
  </si>
  <si>
    <t>Instrument Category</t>
  </si>
  <si>
    <t>User Role</t>
  </si>
  <si>
    <t>mg</t>
  </si>
  <si>
    <t>Flammable</t>
  </si>
  <si>
    <t>Yes</t>
  </si>
  <si>
    <t>Requested</t>
  </si>
  <si>
    <t>Received</t>
  </si>
  <si>
    <t>Spectroscopy</t>
  </si>
  <si>
    <t>Lab Manager</t>
  </si>
  <si>
    <t>g</t>
  </si>
  <si>
    <t>Corrosive</t>
  </si>
  <si>
    <t>No</t>
  </si>
  <si>
    <t>Reserved for Maintenance</t>
  </si>
  <si>
    <t>Approved</t>
  </si>
  <si>
    <t>Used</t>
  </si>
  <si>
    <t>Microscopy</t>
  </si>
  <si>
    <t>Researcher</t>
  </si>
  <si>
    <t>kg</t>
  </si>
  <si>
    <t>Toxic</t>
  </si>
  <si>
    <t>Rejected</t>
  </si>
  <si>
    <t>Disposed</t>
  </si>
  <si>
    <t>Synthesis</t>
  </si>
  <si>
    <t>Technician</t>
  </si>
  <si>
    <t>uL</t>
  </si>
  <si>
    <t>Oxidizer</t>
  </si>
  <si>
    <t>Cancelled</t>
  </si>
  <si>
    <t>Adjusted</t>
  </si>
  <si>
    <t>Thermal Analysis</t>
  </si>
  <si>
    <t>Student</t>
  </si>
  <si>
    <t>mL</t>
  </si>
  <si>
    <t>Reactive</t>
  </si>
  <si>
    <t>Electrical/Electronic</t>
  </si>
  <si>
    <t>Visitor</t>
  </si>
  <si>
    <t>L</t>
  </si>
  <si>
    <t>Compressed Gas</t>
  </si>
  <si>
    <t>Decommissioned</t>
  </si>
  <si>
    <t>Sample Preparation</t>
  </si>
  <si>
    <t>pcs</t>
  </si>
  <si>
    <t>Environmental Hazard</t>
  </si>
  <si>
    <t>Vacuum</t>
  </si>
  <si>
    <t>Irritant/Harmful</t>
  </si>
  <si>
    <t>General Lab</t>
  </si>
  <si>
    <t>Other</t>
  </si>
  <si>
    <t>Laboratory of Applied Nanomaterial - Management Workbook</t>
  </si>
  <si>
    <t>Purpose</t>
  </si>
  <si>
    <t>This workbook supports chemical inventory, instrument inventory, maintenance/calibration tracking, and laboratory/instrument booking.</t>
  </si>
  <si>
    <t>Recommended workflow</t>
  </si>
  <si>
    <t>1. Assign unique IDs such as CHEM-001, INST-001, BOOK-001, and MAIN-001.</t>
  </si>
  <si>
    <t>2. Add each chemical to Chemical Inventory and record receipts, usage, disposal, and adjustments in Chemical Usage Log.</t>
  </si>
  <si>
    <t>3. Add each instrument to Instrument Inventory and link its Work Instruction ID or file location.</t>
  </si>
  <si>
    <t>4. Record calibration, maintenance, repair, and inspection activities in Maintenance Log.</t>
  </si>
  <si>
    <t>5. Members submit bookings in Lab Booking. Check instrument status and conflict warnings before approval.</t>
  </si>
  <si>
    <t>6. Use Dashboard during routine lab-management review.</t>
  </si>
  <si>
    <t>Important</t>
  </si>
  <si>
    <t>This workbook is a management aid. Chemical compatibility, SDS requirements, institutional rules, local regulations, waste procedures, and instrument-specific safety requirements must still be followed.</t>
  </si>
  <si>
    <t>Chemical stock logic: enter the quantity physically present when the chemical is first registered in Initial Qty. After that, record receipts, usage, disposal, and signed adjustments in Chemical Usage Log; Current Qty is calculated automatically.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</si>
</sst>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hh:mm"/>
  </numFmts>
  <fonts count="5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name val="Carlito"/>
    </font>
    <font>
      <b/>
      <sz val="11"/>
      <color rgb="FF375623"/>
      <name val="Carlito"/>
    </font>
  </fonts>
  <fills count="13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E2F0D9"/>
      </patternFill>
    </fill>
    <fill>
      <patternFill patternType="solid">
        <fgColor rgb="FF5B9BD5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7F8FA6"/>
      </patternFill>
    </fill>
    <fill>
      <patternFill patternType="solid">
        <fgColor rgb="FFD9EAF7"/>
      </patternFill>
    </fill>
    <fill>
      <patternFill patternType="solid">
        <fgColor rgb="FFFCE5CD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3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/>
      <top style="thin">
        <color rgb="FFB4C6E7"/>
      </top>
      <bottom style="thin">
        <color rgb="FFB4C6E7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E1E1E1"/>
      </left>
      <right/>
      <top style="thin">
        <color rgb="FFE1E1E1"/>
      </top>
      <bottom/>
      <diagonal/>
    </border>
    <border>
      <left/>
      <right/>
      <top style="thin">
        <color rgb="FFE1E1E1"/>
      </top>
      <bottom/>
      <diagonal/>
    </border>
    <border>
      <left/>
      <right style="thin">
        <color rgb="FFE1E1E1"/>
      </right>
      <top style="thin">
        <color rgb="FFE1E1E1"/>
      </top>
      <bottom/>
      <diagonal/>
    </border>
    <border>
      <left style="thin">
        <color rgb="FFE1E1E1"/>
      </left>
      <right/>
      <top/>
      <bottom/>
      <diagonal/>
    </border>
    <border>
      <left/>
      <right style="thin">
        <color rgb="FFE1E1E1"/>
      </right>
      <top/>
      <bottom/>
      <diagonal/>
    </border>
    <border>
      <left style="thin">
        <color rgb="FFE1E1E1"/>
      </left>
      <right/>
      <top/>
      <bottom style="thin">
        <color rgb="FFE1E1E1"/>
      </bottom>
      <diagonal/>
    </border>
    <border>
      <left/>
      <right/>
      <top/>
      <bottom style="thin">
        <color rgb="FFE1E1E1"/>
      </bottom>
      <diagonal/>
    </border>
    <border>
      <left/>
      <right style="thin">
        <color rgb="FFE1E1E1"/>
      </right>
      <top/>
      <bottom style="thin">
        <color rgb="FFE1E1E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164" fontId="0" fillId="0" borderId="6" xfId="0" applyNumberFormat="1" applyBorder="1" applyAlignment="1">
      <alignment vertical="center" wrapText="1"/>
    </xf>
    <xf numFmtId="164" fontId="0" fillId="0" borderId="0" xfId="0" applyNumberFormat="1" applyAlignment="1">
      <alignment vertical="center" wrapText="1"/>
    </xf>
    <xf numFmtId="164" fontId="0" fillId="0" borderId="11" xfId="0" applyNumberFormat="1" applyBorder="1" applyAlignment="1">
      <alignment vertical="center" wrapText="1"/>
    </xf>
    <xf numFmtId="2" fontId="0" fillId="0" borderId="6" xfId="0" applyNumberFormat="1" applyBorder="1" applyAlignment="1">
      <alignment vertical="center" wrapText="1"/>
    </xf>
    <xf numFmtId="2" fontId="0" fillId="0" borderId="0" xfId="0" applyNumberFormat="1" applyAlignment="1">
      <alignment vertical="center" wrapText="1"/>
    </xf>
    <xf numFmtId="2" fontId="0" fillId="0" borderId="11" xfId="0" applyNumberFormat="1" applyBorder="1" applyAlignment="1">
      <alignment vertical="center" wrapText="1"/>
    </xf>
    <xf numFmtId="1" fontId="0" fillId="0" borderId="6" xfId="0" applyNumberFormat="1" applyBorder="1" applyAlignment="1">
      <alignment vertical="center" wrapText="1"/>
    </xf>
    <xf numFmtId="1" fontId="0" fillId="0" borderId="0" xfId="0" applyNumberFormat="1" applyAlignment="1">
      <alignment vertical="center" wrapText="1"/>
    </xf>
    <xf numFmtId="1" fontId="0" fillId="0" borderId="11" xfId="0" applyNumberFormat="1" applyBorder="1" applyAlignment="1">
      <alignment vertical="center" wrapText="1"/>
    </xf>
    <xf numFmtId="165" fontId="0" fillId="0" borderId="6" xfId="0" applyNumberFormat="1" applyBorder="1" applyAlignment="1">
      <alignment vertical="center" wrapText="1"/>
    </xf>
    <xf numFmtId="165" fontId="0" fillId="0" borderId="0" xfId="0" applyNumberFormat="1" applyAlignment="1">
      <alignment vertical="center" wrapText="1"/>
    </xf>
    <xf numFmtId="165" fontId="0" fillId="0" borderId="11" xfId="0" applyNumberFormat="1" applyBorder="1" applyAlignment="1">
      <alignment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1" fontId="0" fillId="0" borderId="7" xfId="0" applyNumberFormat="1" applyBorder="1" applyAlignment="1">
      <alignment vertical="center" wrapText="1"/>
    </xf>
    <xf numFmtId="1" fontId="0" fillId="0" borderId="9" xfId="0" applyNumberFormat="1" applyBorder="1" applyAlignment="1">
      <alignment vertical="center" wrapText="1"/>
    </xf>
    <xf numFmtId="1" fontId="0" fillId="0" borderId="12" xfId="0" applyNumberFormat="1" applyBorder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4" fillId="4" borderId="0" xfId="0" applyFont="1" applyFill="1"/>
    <xf numFmtId="0" fontId="0" fillId="0" borderId="0" xfId="0" applyAlignment="1">
      <alignment wrapText="1"/>
    </xf>
    <xf numFmtId="0" fontId="3" fillId="4" borderId="0" xfId="0" applyFont="1" applyFill="1"/>
    <xf numFmtId="0" fontId="3" fillId="9" borderId="0" xfId="0" applyFont="1" applyFill="1" applyAlignment="1">
      <alignment wrapText="1"/>
    </xf>
    <xf numFmtId="0" fontId="3" fillId="10" borderId="0" xfId="0" applyFont="1" applyFill="1" applyAlignment="1">
      <alignment wrapText="1"/>
    </xf>
    <xf numFmtId="0" fontId="0" fillId="11" borderId="0" xfId="0" applyFill="1" applyAlignment="1">
      <alignment wrapText="1"/>
    </xf>
    <xf numFmtId="0" fontId="0" fillId="12" borderId="0" xfId="0" applyFill="1" applyAlignment="1">
      <alignment wrapText="1"/>
    </xf>
  </cellXfs>
  <cellStyles count="1">
    <cellStyle name="Normal" xfId="0" builtinId="0"/>
  </cellStyles>
  <dxfs count="13">
    <dxf>
      <font>
        <b/>
        <color rgb="FF9C0006"/>
      </font>
      <fill>
        <patternFill>
          <bgColor rgb="FFF4CCCC"/>
        </patternFill>
      </fill>
    </dxf>
    <dxf>
      <font>
        <b/>
        <color rgb="FF274E13"/>
      </font>
      <fill>
        <patternFill>
          <bgColor rgb="FFD9EAD3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A64D00"/>
      </font>
      <fill>
        <patternFill>
          <bgColor rgb="FFFCE5CD"/>
        </patternFill>
      </fill>
    </dxf>
    <dxf>
      <font>
        <b/>
        <color rgb="FFA64D00"/>
      </font>
      <fill>
        <patternFill>
          <bgColor rgb="FFFCE5CD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274E13"/>
      </font>
      <fill>
        <patternFill>
          <bgColor rgb="FFD9EAD3"/>
        </patternFill>
      </fill>
    </dxf>
    <dxf>
      <font>
        <b/>
        <color rgb="FFA64D00"/>
      </font>
      <fill>
        <patternFill>
          <bgColor rgb="FFFCE5CD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6500"/>
      </font>
      <fill>
        <patternFill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Chemical Stock Status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invertIfNegative val="1"/>
          <c:cat>
            <c:strRef>
              <c:f>Dashboard!$A$12:$A$14</c:f>
              <c:strCache>
                <c:ptCount val="3"/>
                <c:pt idx="0">
                  <c:v>OK</c:v>
                </c:pt>
                <c:pt idx="1">
                  <c:v>LOW STOCK</c:v>
                </c:pt>
                <c:pt idx="2">
                  <c:v>OUT OF STOCK</c:v>
                </c:pt>
              </c:strCache>
            </c:strRef>
          </c:cat>
          <c:val>
            <c:numRef>
              <c:f>Dashboard!$B$12:$B$14</c:f>
              <c:numCache>
                <c:formatCode>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E1-4E16-9CFF-B06ACCCC28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9</xdr:row>
      <xdr:rowOff>0</xdr:rowOff>
    </xdr:from>
    <xdr:to>
      <xdr:col>10</xdr:col>
      <xdr:colOff>0</xdr:colOff>
      <xdr:row>19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hemicalInventoryTable" displayName="ChemicalInventoryTable" ref="A2:T202" totalsRowShown="0">
  <tableColumns count="20">
    <tableColumn id="1" xr3:uid="{00000000-0010-0000-0000-000001000000}" name="Chemical ID"/>
    <tableColumn id="2" xr3:uid="{00000000-0010-0000-0000-000002000000}" name="Chemical Name"/>
    <tableColumn id="3" xr3:uid="{00000000-0010-0000-0000-000003000000}" name="CAS No."/>
    <tableColumn id="4" xr3:uid="{00000000-0010-0000-0000-000004000000}" name="Grade / Purity"/>
    <tableColumn id="5" xr3:uid="{00000000-0010-0000-0000-000005000000}" name="Supplier"/>
    <tableColumn id="6" xr3:uid="{00000000-0010-0000-0000-000006000000}" name="Storage Location"/>
    <tableColumn id="7" xr3:uid="{00000000-0010-0000-0000-000007000000}" name="Hazard Class"/>
    <tableColumn id="8" xr3:uid="{00000000-0010-0000-0000-000008000000}" name="Unit"/>
    <tableColumn id="9" xr3:uid="{00000000-0010-0000-0000-000009000000}" name="Initial Qty"/>
    <tableColumn id="10" xr3:uid="{00000000-0010-0000-0000-00000A000000}" name="Current Qty"/>
    <tableColumn id="11" xr3:uid="{00000000-0010-0000-0000-00000B000000}" name="Minimum Stock"/>
    <tableColumn id="12" xr3:uid="{00000000-0010-0000-0000-00000C000000}" name="Received Date"/>
    <tableColumn id="13" xr3:uid="{00000000-0010-0000-0000-00000D000000}" name="Expiry Date"/>
    <tableColumn id="14" xr3:uid="{00000000-0010-0000-0000-00000E000000}" name="Days to Expiry"/>
    <tableColumn id="15" xr3:uid="{00000000-0010-0000-0000-00000F000000}" name="Stock Status"/>
    <tableColumn id="16" xr3:uid="{00000000-0010-0000-0000-000010000000}" name="Expiry Status"/>
    <tableColumn id="17" xr3:uid="{00000000-0010-0000-0000-000011000000}" name="SDS Available"/>
    <tableColumn id="18" xr3:uid="{00000000-0010-0000-0000-000012000000}" name="Responsible Person"/>
    <tableColumn id="19" xr3:uid="{00000000-0010-0000-0000-000013000000}" name="Last Updated"/>
    <tableColumn id="20" xr3:uid="{00000000-0010-0000-0000-000014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hemicalUsageTable" displayName="ChemicalUsageTable" ref="A2:K202" totalsRowShown="0">
  <tableColumns count="11">
    <tableColumn id="1" xr3:uid="{00000000-0010-0000-0100-000001000000}" name="Transaction ID"/>
    <tableColumn id="2" xr3:uid="{00000000-0010-0000-0100-000002000000}" name="Date"/>
    <tableColumn id="3" xr3:uid="{00000000-0010-0000-0100-000003000000}" name="Chemical ID"/>
    <tableColumn id="4" xr3:uid="{00000000-0010-0000-0100-000004000000}" name="Chemical Name"/>
    <tableColumn id="5" xr3:uid="{00000000-0010-0000-0100-000005000000}" name="Movement Type"/>
    <tableColumn id="6" xr3:uid="{00000000-0010-0000-0100-000006000000}" name="Quantity"/>
    <tableColumn id="7" xr3:uid="{00000000-0010-0000-0100-000007000000}" name="Unit"/>
    <tableColumn id="8" xr3:uid="{00000000-0010-0000-0100-000008000000}" name="User"/>
    <tableColumn id="9" xr3:uid="{00000000-0010-0000-0100-000009000000}" name="Experiment / Purpose"/>
    <tableColumn id="10" xr3:uid="{00000000-0010-0000-0100-00000A000000}" name="Reference / Waste Record"/>
    <tableColumn id="11" xr3:uid="{00000000-0010-0000-0100-00000B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InstrumentInventoryTable" displayName="InstrumentInventoryTable" ref="A2:U202" totalsRowShown="0">
  <tableColumns count="21">
    <tableColumn id="1" xr3:uid="{00000000-0010-0000-0200-000001000000}" name="Instrument ID"/>
    <tableColumn id="2" xr3:uid="{00000000-0010-0000-0200-000002000000}" name="Instrument Name"/>
    <tableColumn id="3" xr3:uid="{00000000-0010-0000-0200-000003000000}" name="Category"/>
    <tableColumn id="4" xr3:uid="{00000000-0010-0000-0200-000004000000}" name="Manufacturer"/>
    <tableColumn id="5" xr3:uid="{00000000-0010-0000-0200-000005000000}" name="Model"/>
    <tableColumn id="6" xr3:uid="{00000000-0010-0000-0200-000006000000}" name="Serial No."/>
    <tableColumn id="7" xr3:uid="{00000000-0010-0000-0200-000007000000}" name="Location"/>
    <tableColumn id="8" xr3:uid="{00000000-0010-0000-0200-000008000000}" name="Responsible Person"/>
    <tableColumn id="9" xr3:uid="{00000000-0010-0000-0200-000009000000}" name="Purchase Date"/>
    <tableColumn id="10" xr3:uid="{00000000-0010-0000-0200-00000A000000}" name="Status"/>
    <tableColumn id="11" xr3:uid="{00000000-0010-0000-0200-00000B000000}" name="Booking Required"/>
    <tableColumn id="12" xr3:uid="{00000000-0010-0000-0200-00000C000000}" name="Calibration Required"/>
    <tableColumn id="13" xr3:uid="{00000000-0010-0000-0200-00000D000000}" name="Calibration Interval (Months)"/>
    <tableColumn id="14" xr3:uid="{00000000-0010-0000-0200-00000E000000}" name="Last Calibration"/>
    <tableColumn id="15" xr3:uid="{00000000-0010-0000-0200-00000F000000}" name="Next Calibration"/>
    <tableColumn id="16" xr3:uid="{00000000-0010-0000-0200-000010000000}" name="Maintenance Interval (Months)"/>
    <tableColumn id="17" xr3:uid="{00000000-0010-0000-0200-000011000000}" name="Last Maintenance"/>
    <tableColumn id="18" xr3:uid="{00000000-0010-0000-0200-000012000000}" name="Next Maintenance"/>
    <tableColumn id="19" xr3:uid="{00000000-0010-0000-0200-000013000000}" name="Work Instruction ID / Link"/>
    <tableColumn id="20" xr3:uid="{00000000-0010-0000-0200-000014000000}" name="Electrical Supply"/>
    <tableColumn id="21" xr3:uid="{00000000-0010-0000-0200-000015000000}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MaintenanceLogTable" displayName="MaintenanceLogTable" ref="A2:M202" totalsRowShown="0">
  <tableColumns count="13">
    <tableColumn id="1" xr3:uid="{00000000-0010-0000-0300-000001000000}" name="Record ID"/>
    <tableColumn id="2" xr3:uid="{00000000-0010-0000-0300-000002000000}" name="Date"/>
    <tableColumn id="3" xr3:uid="{00000000-0010-0000-0300-000003000000}" name="Instrument ID"/>
    <tableColumn id="4" xr3:uid="{00000000-0010-0000-0300-000004000000}" name="Instrument Name"/>
    <tableColumn id="5" xr3:uid="{00000000-0010-0000-0300-000005000000}" name="Activity Type"/>
    <tableColumn id="6" xr3:uid="{00000000-0010-0000-0300-000006000000}" name="Performed By"/>
    <tableColumn id="7" xr3:uid="{00000000-0010-0000-0300-000007000000}" name="Service Provider"/>
    <tableColumn id="8" xr3:uid="{00000000-0010-0000-0300-000008000000}" name="Finding / Problem"/>
    <tableColumn id="9" xr3:uid="{00000000-0010-0000-0300-000009000000}" name="Action Taken"/>
    <tableColumn id="10" xr3:uid="{00000000-0010-0000-0300-00000A000000}" name="Parts Replaced"/>
    <tableColumn id="11" xr3:uid="{00000000-0010-0000-0300-00000B000000}" name="Next Due Date"/>
    <tableColumn id="12" xr3:uid="{00000000-0010-0000-0300-00000C000000}" name="Instrument Status After Service"/>
    <tableColumn id="13" xr3:uid="{00000000-0010-0000-0300-00000D000000}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LabBookingTable" displayName="LabBookingTable" ref="A2:L202" totalsRowShown="0">
  <tableColumns count="12">
    <tableColumn id="1" xr3:uid="{00000000-0010-0000-0400-000001000000}" name="Booking ID"/>
    <tableColumn id="2" xr3:uid="{00000000-0010-0000-0400-000002000000}" name="Date"/>
    <tableColumn id="3" xr3:uid="{00000000-0010-0000-0400-000003000000}" name="Start Time"/>
    <tableColumn id="4" xr3:uid="{00000000-0010-0000-0400-000004000000}" name="End Time"/>
    <tableColumn id="5" xr3:uid="{00000000-0010-0000-0400-000005000000}" name="Member Name"/>
    <tableColumn id="6" xr3:uid="{00000000-0010-0000-0400-000006000000}" name="Purpose / Experiment"/>
    <tableColumn id="7" xr3:uid="{00000000-0010-0000-0400-000007000000}" name="Instrument ID"/>
    <tableColumn id="8" xr3:uid="{00000000-0010-0000-0400-000008000000}" name="Instrument Name"/>
    <tableColumn id="9" xr3:uid="{00000000-0010-0000-0400-000009000000}" name="Instrument Status"/>
    <tableColumn id="10" xr3:uid="{00000000-0010-0000-0400-00000A000000}" name="Approval Status"/>
    <tableColumn id="11" xr3:uid="{00000000-0010-0000-0400-00000B000000}" name="Conflict Check"/>
    <tableColumn id="12" xr3:uid="{00000000-0010-0000-0400-00000C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workbookViewId="0">
      <selection sqref="A1:J1"/>
    </sheetView>
  </sheetViews>
  <sheetFormatPr defaultRowHeight="13.5"/>
  <cols>
    <col min="1" max="1" width="25" customWidth="1"/>
    <col min="2" max="2" width="14" customWidth="1"/>
    <col min="3" max="3" width="22" customWidth="1"/>
    <col min="4" max="4" width="25" customWidth="1"/>
    <col min="5" max="5" width="14" customWidth="1"/>
    <col min="6" max="6" width="5" customWidth="1"/>
    <col min="7" max="7" width="25" customWidth="1"/>
    <col min="8" max="8" width="14" customWidth="1"/>
    <col min="9" max="10" width="5" customWidth="1"/>
  </cols>
  <sheetData>
    <row r="1" spans="1:10" ht="15" customHeight="1">
      <c r="A1" s="39" t="s">
        <v>0</v>
      </c>
      <c r="B1" s="39"/>
      <c r="C1" s="39"/>
      <c r="D1" s="39"/>
      <c r="E1" s="39"/>
      <c r="F1" s="39"/>
      <c r="G1" s="39"/>
      <c r="H1" s="39"/>
      <c r="I1" s="39"/>
      <c r="J1" s="39"/>
    </row>
    <row r="3" spans="1:10" ht="13.9">
      <c r="A3" s="27" t="s">
        <v>1</v>
      </c>
      <c r="B3" s="28" t="s">
        <v>2</v>
      </c>
      <c r="D3" s="29" t="s">
        <v>3</v>
      </c>
      <c r="E3" s="30" t="s">
        <v>2</v>
      </c>
      <c r="G3" s="31" t="s">
        <v>4</v>
      </c>
      <c r="H3" s="32" t="s">
        <v>2</v>
      </c>
    </row>
    <row r="4" spans="1:10">
      <c r="A4" s="7" t="s">
        <v>5</v>
      </c>
      <c r="B4" s="36">
        <f>COUNTA('Chemical Inventory'!A3:A202)</f>
        <v>0</v>
      </c>
      <c r="D4" s="7" t="s">
        <v>6</v>
      </c>
      <c r="E4" s="36">
        <f>COUNTA('Instrument Inventory'!A3:A202)</f>
        <v>0</v>
      </c>
      <c r="G4" s="7" t="s">
        <v>7</v>
      </c>
      <c r="H4" s="36">
        <f ca="1">COUNTIF('Lab Booking'!B3:B202,TODAY())</f>
        <v>0</v>
      </c>
    </row>
    <row r="5" spans="1:10">
      <c r="A5" s="10" t="s">
        <v>8</v>
      </c>
      <c r="B5" s="37">
        <f>COUNTIF('Chemical Inventory'!O3:O202,"LOW STOCK")</f>
        <v>0</v>
      </c>
      <c r="D5" s="10" t="s">
        <v>9</v>
      </c>
      <c r="E5" s="37">
        <f>COUNTIF('Instrument Inventory'!J3:J202,"Operational")</f>
        <v>0</v>
      </c>
      <c r="G5" s="10" t="s">
        <v>10</v>
      </c>
      <c r="H5" s="37">
        <f ca="1">COUNTIFS('Lab Booking'!B3:B202,TODAY(),'Lab Booking'!J3:J202,"Approved")</f>
        <v>0</v>
      </c>
    </row>
    <row r="6" spans="1:10">
      <c r="A6" s="10" t="s">
        <v>11</v>
      </c>
      <c r="B6" s="37">
        <f>COUNTIF('Chemical Inventory'!O3:O202,"OUT OF STOCK")</f>
        <v>0</v>
      </c>
      <c r="D6" s="10" t="s">
        <v>12</v>
      </c>
      <c r="E6" s="37">
        <f>COUNTIF('Instrument Inventory'!J3:J202,"Under Maintenance")</f>
        <v>0</v>
      </c>
      <c r="G6" s="10" t="s">
        <v>13</v>
      </c>
      <c r="H6" s="37">
        <f>COUNTIF('Lab Booking'!K3:K202,"CONFLICT")</f>
        <v>0</v>
      </c>
    </row>
    <row r="7" spans="1:10">
      <c r="A7" s="10" t="s">
        <v>14</v>
      </c>
      <c r="B7" s="37">
        <f ca="1">COUNTIF('Chemical Inventory'!P3:P202,"EXPIRED")</f>
        <v>0</v>
      </c>
      <c r="D7" s="10" t="s">
        <v>15</v>
      </c>
      <c r="E7" s="37">
        <f>COUNTIF('Instrument Inventory'!J3:J202,"Out of Service")</f>
        <v>0</v>
      </c>
      <c r="G7" s="12" t="s">
        <v>16</v>
      </c>
      <c r="H7" s="38">
        <f>COUNTIF('Lab Booking'!J3:J202,"Requested")</f>
        <v>0</v>
      </c>
    </row>
    <row r="8" spans="1:10">
      <c r="A8" s="12" t="s">
        <v>17</v>
      </c>
      <c r="B8" s="38">
        <f ca="1">COUNTIF('Chemical Inventory'!P3:P202,"EXPIRING &lt;=30 DAYS")</f>
        <v>0</v>
      </c>
      <c r="D8" s="12" t="s">
        <v>18</v>
      </c>
      <c r="E8" s="38">
        <f ca="1">COUNTIFS('Instrument Inventory'!N3:N202,"&lt;&gt;",'Instrument Inventory'!O3:O202,"&lt;"&amp;TODAY())</f>
        <v>0</v>
      </c>
    </row>
    <row r="11" spans="1:10" ht="13.9">
      <c r="A11" s="33" t="s">
        <v>19</v>
      </c>
      <c r="B11" s="34" t="s">
        <v>20</v>
      </c>
      <c r="C11" s="34" t="s">
        <v>21</v>
      </c>
      <c r="D11" s="35" t="s">
        <v>20</v>
      </c>
    </row>
    <row r="12" spans="1:10">
      <c r="A12" s="7" t="s">
        <v>22</v>
      </c>
      <c r="B12" s="21">
        <f>COUNTIF('Chemical Inventory'!O3:O202,A12)</f>
        <v>0</v>
      </c>
      <c r="C12" s="8" t="s">
        <v>9</v>
      </c>
      <c r="D12" s="36">
        <f>COUNTIF('Instrument Inventory'!J3:J202,C12)</f>
        <v>0</v>
      </c>
    </row>
    <row r="13" spans="1:10">
      <c r="A13" s="10" t="s">
        <v>23</v>
      </c>
      <c r="B13" s="22">
        <f>COUNTIF('Chemical Inventory'!O3:O202,A13)</f>
        <v>0</v>
      </c>
      <c r="C13" s="6" t="s">
        <v>12</v>
      </c>
      <c r="D13" s="37">
        <f>COUNTIF('Instrument Inventory'!J3:J202,C13)</f>
        <v>0</v>
      </c>
    </row>
    <row r="14" spans="1:10">
      <c r="A14" s="10" t="s">
        <v>24</v>
      </c>
      <c r="B14" s="22">
        <f>COUNTIF('Chemical Inventory'!O3:O202,A14)</f>
        <v>0</v>
      </c>
      <c r="C14" s="6" t="s">
        <v>15</v>
      </c>
      <c r="D14" s="37">
        <f>COUNTIF('Instrument Inventory'!J3:J202,C14)</f>
        <v>0</v>
      </c>
    </row>
    <row r="15" spans="1:10">
      <c r="A15" s="12"/>
      <c r="B15" s="13"/>
      <c r="C15" s="13" t="s">
        <v>25</v>
      </c>
      <c r="D15" s="38">
        <f>COUNTIF('Instrument Inventory'!J3:J202,C15)</f>
        <v>0</v>
      </c>
    </row>
    <row r="18" spans="1:8" ht="13.9">
      <c r="A18" s="40" t="s">
        <v>26</v>
      </c>
      <c r="B18" s="40"/>
      <c r="C18" s="40"/>
      <c r="D18" s="40"/>
      <c r="E18" s="40"/>
      <c r="F18" s="40"/>
      <c r="G18" s="40"/>
      <c r="H18" s="40"/>
    </row>
    <row r="19" spans="1:8">
      <c r="A19" s="41" t="s">
        <v>27</v>
      </c>
      <c r="B19" s="41"/>
      <c r="C19" s="41"/>
      <c r="D19" s="41"/>
      <c r="E19" s="41"/>
      <c r="F19" s="41"/>
      <c r="G19" s="41"/>
      <c r="H19" s="41"/>
    </row>
    <row r="20" spans="1:8">
      <c r="A20" s="41" t="s">
        <v>28</v>
      </c>
      <c r="B20" s="41"/>
      <c r="C20" s="41"/>
      <c r="D20" s="41"/>
      <c r="E20" s="41"/>
      <c r="F20" s="41"/>
      <c r="G20" s="41"/>
      <c r="H20" s="41"/>
    </row>
  </sheetData>
  <mergeCells count="4">
    <mergeCell ref="A1:J1"/>
    <mergeCell ref="A18:H18"/>
    <mergeCell ref="A19:H19"/>
    <mergeCell ref="A20:H2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02"/>
  <sheetViews>
    <sheetView workbookViewId="0">
      <selection sqref="A1:T1"/>
    </sheetView>
  </sheetViews>
  <sheetFormatPr defaultRowHeight="13.5"/>
  <cols>
    <col min="1" max="1" width="14" customWidth="1"/>
    <col min="2" max="2" width="24" customWidth="1"/>
    <col min="3" max="4" width="15" customWidth="1"/>
    <col min="5" max="7" width="20" customWidth="1"/>
    <col min="8" max="8" width="10" customWidth="1"/>
    <col min="9" max="10" width="12" customWidth="1"/>
    <col min="11" max="11" width="14" customWidth="1"/>
    <col min="12" max="14" width="13" customWidth="1"/>
    <col min="15" max="15" width="16" customWidth="1"/>
    <col min="16" max="16" width="20" customWidth="1"/>
    <col min="17" max="17" width="14" customWidth="1"/>
    <col min="18" max="18" width="18" customWidth="1"/>
    <col min="19" max="19" width="13" customWidth="1"/>
    <col min="20" max="20" width="28" customWidth="1"/>
  </cols>
  <sheetData>
    <row r="1" spans="1:20" ht="15" customHeight="1">
      <c r="A1" s="39" t="s">
        <v>29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</row>
    <row r="2" spans="1:20" ht="27.75">
      <c r="A2" s="2" t="s">
        <v>30</v>
      </c>
      <c r="B2" s="3" t="s">
        <v>31</v>
      </c>
      <c r="C2" s="3" t="s">
        <v>32</v>
      </c>
      <c r="D2" s="3" t="s">
        <v>33</v>
      </c>
      <c r="E2" s="3" t="s">
        <v>34</v>
      </c>
      <c r="F2" s="3" t="s">
        <v>35</v>
      </c>
      <c r="G2" s="3" t="s">
        <v>36</v>
      </c>
      <c r="H2" s="3" t="s">
        <v>37</v>
      </c>
      <c r="I2" s="3" t="s">
        <v>38</v>
      </c>
      <c r="J2" s="3" t="s">
        <v>39</v>
      </c>
      <c r="K2" s="3" t="s">
        <v>40</v>
      </c>
      <c r="L2" s="3" t="s">
        <v>41</v>
      </c>
      <c r="M2" s="3" t="s">
        <v>42</v>
      </c>
      <c r="N2" s="3" t="s">
        <v>43</v>
      </c>
      <c r="O2" s="3" t="s">
        <v>44</v>
      </c>
      <c r="P2" s="3" t="s">
        <v>45</v>
      </c>
      <c r="Q2" s="3" t="s">
        <v>46</v>
      </c>
      <c r="R2" s="3" t="s">
        <v>47</v>
      </c>
      <c r="S2" s="3" t="s">
        <v>48</v>
      </c>
      <c r="T2" s="4" t="s">
        <v>49</v>
      </c>
    </row>
    <row r="3" spans="1:20">
      <c r="A3" s="7"/>
      <c r="B3" s="8"/>
      <c r="C3" s="8"/>
      <c r="D3" s="8"/>
      <c r="E3" s="8"/>
      <c r="F3" s="8"/>
      <c r="G3" s="8"/>
      <c r="H3" s="8"/>
      <c r="I3" s="18"/>
      <c r="J3" s="18" t="str">
        <f>IF(A3="","",I3+SUMIFS('Chemical Usage Log'!$F$3:$F$202,'Chemical Usage Log'!$C$3:$C$202,A3,'Chemical Usage Log'!$E$3:$E$202,"Received")-SUMIFS('Chemical Usage Log'!$F$3:$F$202,'Chemical Usage Log'!$C$3:$C$202,A3,'Chemical Usage Log'!$E$3:$E$202,"Used")-SUMIFS('Chemical Usage Log'!$F$3:$F$202,'Chemical Usage Log'!$C$3:$C$202,A3,'Chemical Usage Log'!$E$3:$E$202,"Disposed")+SUMIFS('Chemical Usage Log'!$F$3:$F$202,'Chemical Usage Log'!$C$3:$C$202,A3,'Chemical Usage Log'!$E$3:$E$202,"Adjusted"))</f>
        <v/>
      </c>
      <c r="K3" s="18"/>
      <c r="L3" s="15"/>
      <c r="M3" s="15"/>
      <c r="N3" s="21" t="str">
        <f t="shared" ref="N3:N34" ca="1" si="0">IF(M3="","",M3-TODAY())</f>
        <v/>
      </c>
      <c r="O3" s="8" t="str">
        <f t="shared" ref="O3:O34" si="1">IF(J3="","",IF(J3&lt;=0,"OUT OF STOCK",IF(J3&lt;=K3,"LOW STOCK","OK")))</f>
        <v/>
      </c>
      <c r="P3" s="8" t="str">
        <f t="shared" ref="P3:P34" ca="1" si="2">IF(A3="","",IF(M3="","NO EXPIRY DATE",IF(M3&lt;TODAY(),"EXPIRED",IF(M3-TODAY()&lt;=30,"EXPIRING &lt;=30 DAYS",IF(M3-TODAY()&lt;=90,"EXPIRING &lt;=90 DAYS","OK")))))</f>
        <v/>
      </c>
      <c r="Q3" s="8"/>
      <c r="R3" s="8"/>
      <c r="S3" s="15"/>
      <c r="T3" s="9"/>
    </row>
    <row r="4" spans="1:20">
      <c r="A4" s="10"/>
      <c r="B4" s="6"/>
      <c r="C4" s="6"/>
      <c r="D4" s="6"/>
      <c r="E4" s="6"/>
      <c r="F4" s="6"/>
      <c r="G4" s="6"/>
      <c r="H4" s="6"/>
      <c r="I4" s="19"/>
      <c r="J4" s="19" t="str">
        <f>IF(A4="","",I4+SUMIFS('Chemical Usage Log'!$F$3:$F$202,'Chemical Usage Log'!$C$3:$C$202,A4,'Chemical Usage Log'!$E$3:$E$202,"Received")-SUMIFS('Chemical Usage Log'!$F$3:$F$202,'Chemical Usage Log'!$C$3:$C$202,A4,'Chemical Usage Log'!$E$3:$E$202,"Used")-SUMIFS('Chemical Usage Log'!$F$3:$F$202,'Chemical Usage Log'!$C$3:$C$202,A4,'Chemical Usage Log'!$E$3:$E$202,"Disposed")+SUMIFS('Chemical Usage Log'!$F$3:$F$202,'Chemical Usage Log'!$C$3:$C$202,A4,'Chemical Usage Log'!$E$3:$E$202,"Adjusted"))</f>
        <v/>
      </c>
      <c r="K4" s="19"/>
      <c r="L4" s="16"/>
      <c r="M4" s="16"/>
      <c r="N4" s="22" t="str">
        <f t="shared" ca="1" si="0"/>
        <v/>
      </c>
      <c r="O4" s="6" t="str">
        <f t="shared" si="1"/>
        <v/>
      </c>
      <c r="P4" s="6" t="str">
        <f t="shared" ca="1" si="2"/>
        <v/>
      </c>
      <c r="Q4" s="6"/>
      <c r="R4" s="6"/>
      <c r="S4" s="16"/>
      <c r="T4" s="11"/>
    </row>
    <row r="5" spans="1:20">
      <c r="A5" s="10"/>
      <c r="B5" s="6"/>
      <c r="C5" s="6"/>
      <c r="D5" s="6"/>
      <c r="E5" s="6"/>
      <c r="F5" s="6"/>
      <c r="G5" s="6"/>
      <c r="H5" s="6"/>
      <c r="I5" s="19"/>
      <c r="J5" s="19" t="str">
        <f>IF(A5="","",I5+SUMIFS('Chemical Usage Log'!$F$3:$F$202,'Chemical Usage Log'!$C$3:$C$202,A5,'Chemical Usage Log'!$E$3:$E$202,"Received")-SUMIFS('Chemical Usage Log'!$F$3:$F$202,'Chemical Usage Log'!$C$3:$C$202,A5,'Chemical Usage Log'!$E$3:$E$202,"Used")-SUMIFS('Chemical Usage Log'!$F$3:$F$202,'Chemical Usage Log'!$C$3:$C$202,A5,'Chemical Usage Log'!$E$3:$E$202,"Disposed")+SUMIFS('Chemical Usage Log'!$F$3:$F$202,'Chemical Usage Log'!$C$3:$C$202,A5,'Chemical Usage Log'!$E$3:$E$202,"Adjusted"))</f>
        <v/>
      </c>
      <c r="K5" s="19"/>
      <c r="L5" s="16"/>
      <c r="M5" s="16"/>
      <c r="N5" s="22" t="str">
        <f t="shared" ca="1" si="0"/>
        <v/>
      </c>
      <c r="O5" s="6" t="str">
        <f t="shared" si="1"/>
        <v/>
      </c>
      <c r="P5" s="6" t="str">
        <f t="shared" ca="1" si="2"/>
        <v/>
      </c>
      <c r="Q5" s="6"/>
      <c r="R5" s="6"/>
      <c r="S5" s="16"/>
      <c r="T5" s="11"/>
    </row>
    <row r="6" spans="1:20">
      <c r="A6" s="10"/>
      <c r="B6" s="6"/>
      <c r="C6" s="6"/>
      <c r="D6" s="6"/>
      <c r="E6" s="6"/>
      <c r="F6" s="6"/>
      <c r="G6" s="6"/>
      <c r="H6" s="6"/>
      <c r="I6" s="19"/>
      <c r="J6" s="19" t="str">
        <f>IF(A6="","",I6+SUMIFS('Chemical Usage Log'!$F$3:$F$202,'Chemical Usage Log'!$C$3:$C$202,A6,'Chemical Usage Log'!$E$3:$E$202,"Received")-SUMIFS('Chemical Usage Log'!$F$3:$F$202,'Chemical Usage Log'!$C$3:$C$202,A6,'Chemical Usage Log'!$E$3:$E$202,"Used")-SUMIFS('Chemical Usage Log'!$F$3:$F$202,'Chemical Usage Log'!$C$3:$C$202,A6,'Chemical Usage Log'!$E$3:$E$202,"Disposed")+SUMIFS('Chemical Usage Log'!$F$3:$F$202,'Chemical Usage Log'!$C$3:$C$202,A6,'Chemical Usage Log'!$E$3:$E$202,"Adjusted"))</f>
        <v/>
      </c>
      <c r="K6" s="19"/>
      <c r="L6" s="16"/>
      <c r="M6" s="16"/>
      <c r="N6" s="22" t="str">
        <f t="shared" ca="1" si="0"/>
        <v/>
      </c>
      <c r="O6" s="6" t="str">
        <f t="shared" si="1"/>
        <v/>
      </c>
      <c r="P6" s="6" t="str">
        <f t="shared" ca="1" si="2"/>
        <v/>
      </c>
      <c r="Q6" s="6"/>
      <c r="R6" s="6"/>
      <c r="S6" s="16"/>
      <c r="T6" s="11"/>
    </row>
    <row r="7" spans="1:20">
      <c r="A7" s="10"/>
      <c r="B7" s="6"/>
      <c r="C7" s="6"/>
      <c r="D7" s="6"/>
      <c r="E7" s="6"/>
      <c r="F7" s="6"/>
      <c r="G7" s="6"/>
      <c r="H7" s="6"/>
      <c r="I7" s="19"/>
      <c r="J7" s="19" t="str">
        <f>IF(A7="","",I7+SUMIFS('Chemical Usage Log'!$F$3:$F$202,'Chemical Usage Log'!$C$3:$C$202,A7,'Chemical Usage Log'!$E$3:$E$202,"Received")-SUMIFS('Chemical Usage Log'!$F$3:$F$202,'Chemical Usage Log'!$C$3:$C$202,A7,'Chemical Usage Log'!$E$3:$E$202,"Used")-SUMIFS('Chemical Usage Log'!$F$3:$F$202,'Chemical Usage Log'!$C$3:$C$202,A7,'Chemical Usage Log'!$E$3:$E$202,"Disposed")+SUMIFS('Chemical Usage Log'!$F$3:$F$202,'Chemical Usage Log'!$C$3:$C$202,A7,'Chemical Usage Log'!$E$3:$E$202,"Adjusted"))</f>
        <v/>
      </c>
      <c r="K7" s="19"/>
      <c r="L7" s="16"/>
      <c r="M7" s="16"/>
      <c r="N7" s="22" t="str">
        <f t="shared" ca="1" si="0"/>
        <v/>
      </c>
      <c r="O7" s="6" t="str">
        <f t="shared" si="1"/>
        <v/>
      </c>
      <c r="P7" s="6" t="str">
        <f t="shared" ca="1" si="2"/>
        <v/>
      </c>
      <c r="Q7" s="6"/>
      <c r="R7" s="6"/>
      <c r="S7" s="16"/>
      <c r="T7" s="11"/>
    </row>
    <row r="8" spans="1:20">
      <c r="A8" s="10"/>
      <c r="B8" s="6"/>
      <c r="C8" s="6"/>
      <c r="D8" s="6"/>
      <c r="E8" s="6"/>
      <c r="F8" s="6"/>
      <c r="G8" s="6"/>
      <c r="H8" s="6"/>
      <c r="I8" s="19"/>
      <c r="J8" s="19" t="str">
        <f>IF(A8="","",I8+SUMIFS('Chemical Usage Log'!$F$3:$F$202,'Chemical Usage Log'!$C$3:$C$202,A8,'Chemical Usage Log'!$E$3:$E$202,"Received")-SUMIFS('Chemical Usage Log'!$F$3:$F$202,'Chemical Usage Log'!$C$3:$C$202,A8,'Chemical Usage Log'!$E$3:$E$202,"Used")-SUMIFS('Chemical Usage Log'!$F$3:$F$202,'Chemical Usage Log'!$C$3:$C$202,A8,'Chemical Usage Log'!$E$3:$E$202,"Disposed")+SUMIFS('Chemical Usage Log'!$F$3:$F$202,'Chemical Usage Log'!$C$3:$C$202,A8,'Chemical Usage Log'!$E$3:$E$202,"Adjusted"))</f>
        <v/>
      </c>
      <c r="K8" s="19"/>
      <c r="L8" s="16"/>
      <c r="M8" s="16"/>
      <c r="N8" s="22" t="str">
        <f t="shared" ca="1" si="0"/>
        <v/>
      </c>
      <c r="O8" s="6" t="str">
        <f t="shared" si="1"/>
        <v/>
      </c>
      <c r="P8" s="6" t="str">
        <f t="shared" ca="1" si="2"/>
        <v/>
      </c>
      <c r="Q8" s="6"/>
      <c r="R8" s="6"/>
      <c r="S8" s="16"/>
      <c r="T8" s="11"/>
    </row>
    <row r="9" spans="1:20">
      <c r="A9" s="10"/>
      <c r="B9" s="6"/>
      <c r="C9" s="6"/>
      <c r="D9" s="6"/>
      <c r="E9" s="6"/>
      <c r="F9" s="6"/>
      <c r="G9" s="6"/>
      <c r="H9" s="6"/>
      <c r="I9" s="19"/>
      <c r="J9" s="19" t="str">
        <f>IF(A9="","",I9+SUMIFS('Chemical Usage Log'!$F$3:$F$202,'Chemical Usage Log'!$C$3:$C$202,A9,'Chemical Usage Log'!$E$3:$E$202,"Received")-SUMIFS('Chemical Usage Log'!$F$3:$F$202,'Chemical Usage Log'!$C$3:$C$202,A9,'Chemical Usage Log'!$E$3:$E$202,"Used")-SUMIFS('Chemical Usage Log'!$F$3:$F$202,'Chemical Usage Log'!$C$3:$C$202,A9,'Chemical Usage Log'!$E$3:$E$202,"Disposed")+SUMIFS('Chemical Usage Log'!$F$3:$F$202,'Chemical Usage Log'!$C$3:$C$202,A9,'Chemical Usage Log'!$E$3:$E$202,"Adjusted"))</f>
        <v/>
      </c>
      <c r="K9" s="19"/>
      <c r="L9" s="16"/>
      <c r="M9" s="16"/>
      <c r="N9" s="22" t="str">
        <f t="shared" ca="1" si="0"/>
        <v/>
      </c>
      <c r="O9" s="6" t="str">
        <f t="shared" si="1"/>
        <v/>
      </c>
      <c r="P9" s="6" t="str">
        <f t="shared" ca="1" si="2"/>
        <v/>
      </c>
      <c r="Q9" s="6"/>
      <c r="R9" s="6"/>
      <c r="S9" s="16"/>
      <c r="T9" s="11"/>
    </row>
    <row r="10" spans="1:20">
      <c r="A10" s="10"/>
      <c r="B10" s="6"/>
      <c r="C10" s="6"/>
      <c r="D10" s="6"/>
      <c r="E10" s="6"/>
      <c r="F10" s="6"/>
      <c r="G10" s="6"/>
      <c r="H10" s="6"/>
      <c r="I10" s="19"/>
      <c r="J10" s="19" t="str">
        <f>IF(A10="","",I10+SUMIFS('Chemical Usage Log'!$F$3:$F$202,'Chemical Usage Log'!$C$3:$C$202,A10,'Chemical Usage Log'!$E$3:$E$202,"Received")-SUMIFS('Chemical Usage Log'!$F$3:$F$202,'Chemical Usage Log'!$C$3:$C$202,A10,'Chemical Usage Log'!$E$3:$E$202,"Used")-SUMIFS('Chemical Usage Log'!$F$3:$F$202,'Chemical Usage Log'!$C$3:$C$202,A10,'Chemical Usage Log'!$E$3:$E$202,"Disposed")+SUMIFS('Chemical Usage Log'!$F$3:$F$202,'Chemical Usage Log'!$C$3:$C$202,A10,'Chemical Usage Log'!$E$3:$E$202,"Adjusted"))</f>
        <v/>
      </c>
      <c r="K10" s="19"/>
      <c r="L10" s="16"/>
      <c r="M10" s="16"/>
      <c r="N10" s="22" t="str">
        <f t="shared" ca="1" si="0"/>
        <v/>
      </c>
      <c r="O10" s="6" t="str">
        <f t="shared" si="1"/>
        <v/>
      </c>
      <c r="P10" s="6" t="str">
        <f t="shared" ca="1" si="2"/>
        <v/>
      </c>
      <c r="Q10" s="6"/>
      <c r="R10" s="6"/>
      <c r="S10" s="16"/>
      <c r="T10" s="11"/>
    </row>
    <row r="11" spans="1:20">
      <c r="A11" s="10"/>
      <c r="B11" s="6"/>
      <c r="C11" s="6"/>
      <c r="D11" s="6"/>
      <c r="E11" s="6"/>
      <c r="F11" s="6"/>
      <c r="G11" s="6"/>
      <c r="H11" s="6"/>
      <c r="I11" s="19"/>
      <c r="J11" s="19" t="str">
        <f>IF(A11="","",I11+SUMIFS('Chemical Usage Log'!$F$3:$F$202,'Chemical Usage Log'!$C$3:$C$202,A11,'Chemical Usage Log'!$E$3:$E$202,"Received")-SUMIFS('Chemical Usage Log'!$F$3:$F$202,'Chemical Usage Log'!$C$3:$C$202,A11,'Chemical Usage Log'!$E$3:$E$202,"Used")-SUMIFS('Chemical Usage Log'!$F$3:$F$202,'Chemical Usage Log'!$C$3:$C$202,A11,'Chemical Usage Log'!$E$3:$E$202,"Disposed")+SUMIFS('Chemical Usage Log'!$F$3:$F$202,'Chemical Usage Log'!$C$3:$C$202,A11,'Chemical Usage Log'!$E$3:$E$202,"Adjusted"))</f>
        <v/>
      </c>
      <c r="K11" s="19"/>
      <c r="L11" s="16"/>
      <c r="M11" s="16"/>
      <c r="N11" s="22" t="str">
        <f t="shared" ca="1" si="0"/>
        <v/>
      </c>
      <c r="O11" s="6" t="str">
        <f t="shared" si="1"/>
        <v/>
      </c>
      <c r="P11" s="6" t="str">
        <f t="shared" ca="1" si="2"/>
        <v/>
      </c>
      <c r="Q11" s="6"/>
      <c r="R11" s="6"/>
      <c r="S11" s="16"/>
      <c r="T11" s="11"/>
    </row>
    <row r="12" spans="1:20">
      <c r="A12" s="10"/>
      <c r="B12" s="6"/>
      <c r="C12" s="6"/>
      <c r="D12" s="6"/>
      <c r="E12" s="6"/>
      <c r="F12" s="6"/>
      <c r="G12" s="6"/>
      <c r="H12" s="6"/>
      <c r="I12" s="19"/>
      <c r="J12" s="19" t="str">
        <f>IF(A12="","",I12+SUMIFS('Chemical Usage Log'!$F$3:$F$202,'Chemical Usage Log'!$C$3:$C$202,A12,'Chemical Usage Log'!$E$3:$E$202,"Received")-SUMIFS('Chemical Usage Log'!$F$3:$F$202,'Chemical Usage Log'!$C$3:$C$202,A12,'Chemical Usage Log'!$E$3:$E$202,"Used")-SUMIFS('Chemical Usage Log'!$F$3:$F$202,'Chemical Usage Log'!$C$3:$C$202,A12,'Chemical Usage Log'!$E$3:$E$202,"Disposed")+SUMIFS('Chemical Usage Log'!$F$3:$F$202,'Chemical Usage Log'!$C$3:$C$202,A12,'Chemical Usage Log'!$E$3:$E$202,"Adjusted"))</f>
        <v/>
      </c>
      <c r="K12" s="19"/>
      <c r="L12" s="16"/>
      <c r="M12" s="16"/>
      <c r="N12" s="22" t="str">
        <f t="shared" ca="1" si="0"/>
        <v/>
      </c>
      <c r="O12" s="6" t="str">
        <f t="shared" si="1"/>
        <v/>
      </c>
      <c r="P12" s="6" t="str">
        <f t="shared" ca="1" si="2"/>
        <v/>
      </c>
      <c r="Q12" s="6"/>
      <c r="R12" s="6"/>
      <c r="S12" s="16"/>
      <c r="T12" s="11"/>
    </row>
    <row r="13" spans="1:20">
      <c r="A13" s="10"/>
      <c r="B13" s="6"/>
      <c r="C13" s="6"/>
      <c r="D13" s="6"/>
      <c r="E13" s="6"/>
      <c r="F13" s="6"/>
      <c r="G13" s="6"/>
      <c r="H13" s="6"/>
      <c r="I13" s="19"/>
      <c r="J13" s="19" t="str">
        <f>IF(A13="","",I13+SUMIFS('Chemical Usage Log'!$F$3:$F$202,'Chemical Usage Log'!$C$3:$C$202,A13,'Chemical Usage Log'!$E$3:$E$202,"Received")-SUMIFS('Chemical Usage Log'!$F$3:$F$202,'Chemical Usage Log'!$C$3:$C$202,A13,'Chemical Usage Log'!$E$3:$E$202,"Used")-SUMIFS('Chemical Usage Log'!$F$3:$F$202,'Chemical Usage Log'!$C$3:$C$202,A13,'Chemical Usage Log'!$E$3:$E$202,"Disposed")+SUMIFS('Chemical Usage Log'!$F$3:$F$202,'Chemical Usage Log'!$C$3:$C$202,A13,'Chemical Usage Log'!$E$3:$E$202,"Adjusted"))</f>
        <v/>
      </c>
      <c r="K13" s="19"/>
      <c r="L13" s="16"/>
      <c r="M13" s="16"/>
      <c r="N13" s="22" t="str">
        <f t="shared" ca="1" si="0"/>
        <v/>
      </c>
      <c r="O13" s="6" t="str">
        <f t="shared" si="1"/>
        <v/>
      </c>
      <c r="P13" s="6" t="str">
        <f t="shared" ca="1" si="2"/>
        <v/>
      </c>
      <c r="Q13" s="6"/>
      <c r="R13" s="6"/>
      <c r="S13" s="16"/>
      <c r="T13" s="11"/>
    </row>
    <row r="14" spans="1:20">
      <c r="A14" s="10"/>
      <c r="B14" s="6"/>
      <c r="C14" s="6"/>
      <c r="D14" s="6"/>
      <c r="E14" s="6"/>
      <c r="F14" s="6"/>
      <c r="G14" s="6"/>
      <c r="H14" s="6"/>
      <c r="I14" s="19"/>
      <c r="J14" s="19" t="str">
        <f>IF(A14="","",I14+SUMIFS('Chemical Usage Log'!$F$3:$F$202,'Chemical Usage Log'!$C$3:$C$202,A14,'Chemical Usage Log'!$E$3:$E$202,"Received")-SUMIFS('Chemical Usage Log'!$F$3:$F$202,'Chemical Usage Log'!$C$3:$C$202,A14,'Chemical Usage Log'!$E$3:$E$202,"Used")-SUMIFS('Chemical Usage Log'!$F$3:$F$202,'Chemical Usage Log'!$C$3:$C$202,A14,'Chemical Usage Log'!$E$3:$E$202,"Disposed")+SUMIFS('Chemical Usage Log'!$F$3:$F$202,'Chemical Usage Log'!$C$3:$C$202,A14,'Chemical Usage Log'!$E$3:$E$202,"Adjusted"))</f>
        <v/>
      </c>
      <c r="K14" s="19"/>
      <c r="L14" s="16"/>
      <c r="M14" s="16"/>
      <c r="N14" s="22" t="str">
        <f t="shared" ca="1" si="0"/>
        <v/>
      </c>
      <c r="O14" s="6" t="str">
        <f t="shared" si="1"/>
        <v/>
      </c>
      <c r="P14" s="6" t="str">
        <f t="shared" ca="1" si="2"/>
        <v/>
      </c>
      <c r="Q14" s="6"/>
      <c r="R14" s="6"/>
      <c r="S14" s="16"/>
      <c r="T14" s="11"/>
    </row>
    <row r="15" spans="1:20">
      <c r="A15" s="10"/>
      <c r="B15" s="6"/>
      <c r="C15" s="6"/>
      <c r="D15" s="6"/>
      <c r="E15" s="6"/>
      <c r="F15" s="6"/>
      <c r="G15" s="6"/>
      <c r="H15" s="6"/>
      <c r="I15" s="19"/>
      <c r="J15" s="19" t="str">
        <f>IF(A15="","",I15+SUMIFS('Chemical Usage Log'!$F$3:$F$202,'Chemical Usage Log'!$C$3:$C$202,A15,'Chemical Usage Log'!$E$3:$E$202,"Received")-SUMIFS('Chemical Usage Log'!$F$3:$F$202,'Chemical Usage Log'!$C$3:$C$202,A15,'Chemical Usage Log'!$E$3:$E$202,"Used")-SUMIFS('Chemical Usage Log'!$F$3:$F$202,'Chemical Usage Log'!$C$3:$C$202,A15,'Chemical Usage Log'!$E$3:$E$202,"Disposed")+SUMIFS('Chemical Usage Log'!$F$3:$F$202,'Chemical Usage Log'!$C$3:$C$202,A15,'Chemical Usage Log'!$E$3:$E$202,"Adjusted"))</f>
        <v/>
      </c>
      <c r="K15" s="19"/>
      <c r="L15" s="16"/>
      <c r="M15" s="16"/>
      <c r="N15" s="22" t="str">
        <f t="shared" ca="1" si="0"/>
        <v/>
      </c>
      <c r="O15" s="6" t="str">
        <f t="shared" si="1"/>
        <v/>
      </c>
      <c r="P15" s="6" t="str">
        <f t="shared" ca="1" si="2"/>
        <v/>
      </c>
      <c r="Q15" s="6"/>
      <c r="R15" s="6"/>
      <c r="S15" s="16"/>
      <c r="T15" s="11"/>
    </row>
    <row r="16" spans="1:20">
      <c r="A16" s="10"/>
      <c r="B16" s="6"/>
      <c r="C16" s="6"/>
      <c r="D16" s="6"/>
      <c r="E16" s="6"/>
      <c r="F16" s="6"/>
      <c r="G16" s="6"/>
      <c r="H16" s="6"/>
      <c r="I16" s="19"/>
      <c r="J16" s="19" t="str">
        <f>IF(A16="","",I16+SUMIFS('Chemical Usage Log'!$F$3:$F$202,'Chemical Usage Log'!$C$3:$C$202,A16,'Chemical Usage Log'!$E$3:$E$202,"Received")-SUMIFS('Chemical Usage Log'!$F$3:$F$202,'Chemical Usage Log'!$C$3:$C$202,A16,'Chemical Usage Log'!$E$3:$E$202,"Used")-SUMIFS('Chemical Usage Log'!$F$3:$F$202,'Chemical Usage Log'!$C$3:$C$202,A16,'Chemical Usage Log'!$E$3:$E$202,"Disposed")+SUMIFS('Chemical Usage Log'!$F$3:$F$202,'Chemical Usage Log'!$C$3:$C$202,A16,'Chemical Usage Log'!$E$3:$E$202,"Adjusted"))</f>
        <v/>
      </c>
      <c r="K16" s="19"/>
      <c r="L16" s="16"/>
      <c r="M16" s="16"/>
      <c r="N16" s="22" t="str">
        <f t="shared" ca="1" si="0"/>
        <v/>
      </c>
      <c r="O16" s="6" t="str">
        <f t="shared" si="1"/>
        <v/>
      </c>
      <c r="P16" s="6" t="str">
        <f t="shared" ca="1" si="2"/>
        <v/>
      </c>
      <c r="Q16" s="6"/>
      <c r="R16" s="6"/>
      <c r="S16" s="16"/>
      <c r="T16" s="11"/>
    </row>
    <row r="17" spans="1:20">
      <c r="A17" s="10"/>
      <c r="B17" s="6"/>
      <c r="C17" s="6"/>
      <c r="D17" s="6"/>
      <c r="E17" s="6"/>
      <c r="F17" s="6"/>
      <c r="G17" s="6"/>
      <c r="H17" s="6"/>
      <c r="I17" s="19"/>
      <c r="J17" s="19" t="str">
        <f>IF(A17="","",I17+SUMIFS('Chemical Usage Log'!$F$3:$F$202,'Chemical Usage Log'!$C$3:$C$202,A17,'Chemical Usage Log'!$E$3:$E$202,"Received")-SUMIFS('Chemical Usage Log'!$F$3:$F$202,'Chemical Usage Log'!$C$3:$C$202,A17,'Chemical Usage Log'!$E$3:$E$202,"Used")-SUMIFS('Chemical Usage Log'!$F$3:$F$202,'Chemical Usage Log'!$C$3:$C$202,A17,'Chemical Usage Log'!$E$3:$E$202,"Disposed")+SUMIFS('Chemical Usage Log'!$F$3:$F$202,'Chemical Usage Log'!$C$3:$C$202,A17,'Chemical Usage Log'!$E$3:$E$202,"Adjusted"))</f>
        <v/>
      </c>
      <c r="K17" s="19"/>
      <c r="L17" s="16"/>
      <c r="M17" s="16"/>
      <c r="N17" s="22" t="str">
        <f t="shared" ca="1" si="0"/>
        <v/>
      </c>
      <c r="O17" s="6" t="str">
        <f t="shared" si="1"/>
        <v/>
      </c>
      <c r="P17" s="6" t="str">
        <f t="shared" ca="1" si="2"/>
        <v/>
      </c>
      <c r="Q17" s="6"/>
      <c r="R17" s="6"/>
      <c r="S17" s="16"/>
      <c r="T17" s="11"/>
    </row>
    <row r="18" spans="1:20">
      <c r="A18" s="10"/>
      <c r="B18" s="6"/>
      <c r="C18" s="6"/>
      <c r="D18" s="6"/>
      <c r="E18" s="6"/>
      <c r="F18" s="6"/>
      <c r="G18" s="6"/>
      <c r="H18" s="6"/>
      <c r="I18" s="19"/>
      <c r="J18" s="19" t="str">
        <f>IF(A18="","",I18+SUMIFS('Chemical Usage Log'!$F$3:$F$202,'Chemical Usage Log'!$C$3:$C$202,A18,'Chemical Usage Log'!$E$3:$E$202,"Received")-SUMIFS('Chemical Usage Log'!$F$3:$F$202,'Chemical Usage Log'!$C$3:$C$202,A18,'Chemical Usage Log'!$E$3:$E$202,"Used")-SUMIFS('Chemical Usage Log'!$F$3:$F$202,'Chemical Usage Log'!$C$3:$C$202,A18,'Chemical Usage Log'!$E$3:$E$202,"Disposed")+SUMIFS('Chemical Usage Log'!$F$3:$F$202,'Chemical Usage Log'!$C$3:$C$202,A18,'Chemical Usage Log'!$E$3:$E$202,"Adjusted"))</f>
        <v/>
      </c>
      <c r="K18" s="19"/>
      <c r="L18" s="16"/>
      <c r="M18" s="16"/>
      <c r="N18" s="22" t="str">
        <f t="shared" ca="1" si="0"/>
        <v/>
      </c>
      <c r="O18" s="6" t="str">
        <f t="shared" si="1"/>
        <v/>
      </c>
      <c r="P18" s="6" t="str">
        <f t="shared" ca="1" si="2"/>
        <v/>
      </c>
      <c r="Q18" s="6"/>
      <c r="R18" s="6"/>
      <c r="S18" s="16"/>
      <c r="T18" s="11"/>
    </row>
    <row r="19" spans="1:20">
      <c r="A19" s="10"/>
      <c r="B19" s="6"/>
      <c r="C19" s="6"/>
      <c r="D19" s="6"/>
      <c r="E19" s="6"/>
      <c r="F19" s="6"/>
      <c r="G19" s="6"/>
      <c r="H19" s="6"/>
      <c r="I19" s="19"/>
      <c r="J19" s="19" t="str">
        <f>IF(A19="","",I19+SUMIFS('Chemical Usage Log'!$F$3:$F$202,'Chemical Usage Log'!$C$3:$C$202,A19,'Chemical Usage Log'!$E$3:$E$202,"Received")-SUMIFS('Chemical Usage Log'!$F$3:$F$202,'Chemical Usage Log'!$C$3:$C$202,A19,'Chemical Usage Log'!$E$3:$E$202,"Used")-SUMIFS('Chemical Usage Log'!$F$3:$F$202,'Chemical Usage Log'!$C$3:$C$202,A19,'Chemical Usage Log'!$E$3:$E$202,"Disposed")+SUMIFS('Chemical Usage Log'!$F$3:$F$202,'Chemical Usage Log'!$C$3:$C$202,A19,'Chemical Usage Log'!$E$3:$E$202,"Adjusted"))</f>
        <v/>
      </c>
      <c r="K19" s="19"/>
      <c r="L19" s="16"/>
      <c r="M19" s="16"/>
      <c r="N19" s="22" t="str">
        <f t="shared" ca="1" si="0"/>
        <v/>
      </c>
      <c r="O19" s="6" t="str">
        <f t="shared" si="1"/>
        <v/>
      </c>
      <c r="P19" s="6" t="str">
        <f t="shared" ca="1" si="2"/>
        <v/>
      </c>
      <c r="Q19" s="6"/>
      <c r="R19" s="6"/>
      <c r="S19" s="16"/>
      <c r="T19" s="11"/>
    </row>
    <row r="20" spans="1:20">
      <c r="A20" s="10"/>
      <c r="B20" s="6"/>
      <c r="C20" s="6"/>
      <c r="D20" s="6"/>
      <c r="E20" s="6"/>
      <c r="F20" s="6"/>
      <c r="G20" s="6"/>
      <c r="H20" s="6"/>
      <c r="I20" s="19"/>
      <c r="J20" s="19" t="str">
        <f>IF(A20="","",I20+SUMIFS('Chemical Usage Log'!$F$3:$F$202,'Chemical Usage Log'!$C$3:$C$202,A20,'Chemical Usage Log'!$E$3:$E$202,"Received")-SUMIFS('Chemical Usage Log'!$F$3:$F$202,'Chemical Usage Log'!$C$3:$C$202,A20,'Chemical Usage Log'!$E$3:$E$202,"Used")-SUMIFS('Chemical Usage Log'!$F$3:$F$202,'Chemical Usage Log'!$C$3:$C$202,A20,'Chemical Usage Log'!$E$3:$E$202,"Disposed")+SUMIFS('Chemical Usage Log'!$F$3:$F$202,'Chemical Usage Log'!$C$3:$C$202,A20,'Chemical Usage Log'!$E$3:$E$202,"Adjusted"))</f>
        <v/>
      </c>
      <c r="K20" s="19"/>
      <c r="L20" s="16"/>
      <c r="M20" s="16"/>
      <c r="N20" s="22" t="str">
        <f t="shared" ca="1" si="0"/>
        <v/>
      </c>
      <c r="O20" s="6" t="str">
        <f t="shared" si="1"/>
        <v/>
      </c>
      <c r="P20" s="6" t="str">
        <f t="shared" ca="1" si="2"/>
        <v/>
      </c>
      <c r="Q20" s="6"/>
      <c r="R20" s="6"/>
      <c r="S20" s="16"/>
      <c r="T20" s="11"/>
    </row>
    <row r="21" spans="1:20">
      <c r="A21" s="10"/>
      <c r="B21" s="6"/>
      <c r="C21" s="6"/>
      <c r="D21" s="6"/>
      <c r="E21" s="6"/>
      <c r="F21" s="6"/>
      <c r="G21" s="6"/>
      <c r="H21" s="6"/>
      <c r="I21" s="19"/>
      <c r="J21" s="19" t="str">
        <f>IF(A21="","",I21+SUMIFS('Chemical Usage Log'!$F$3:$F$202,'Chemical Usage Log'!$C$3:$C$202,A21,'Chemical Usage Log'!$E$3:$E$202,"Received")-SUMIFS('Chemical Usage Log'!$F$3:$F$202,'Chemical Usage Log'!$C$3:$C$202,A21,'Chemical Usage Log'!$E$3:$E$202,"Used")-SUMIFS('Chemical Usage Log'!$F$3:$F$202,'Chemical Usage Log'!$C$3:$C$202,A21,'Chemical Usage Log'!$E$3:$E$202,"Disposed")+SUMIFS('Chemical Usage Log'!$F$3:$F$202,'Chemical Usage Log'!$C$3:$C$202,A21,'Chemical Usage Log'!$E$3:$E$202,"Adjusted"))</f>
        <v/>
      </c>
      <c r="K21" s="19"/>
      <c r="L21" s="16"/>
      <c r="M21" s="16"/>
      <c r="N21" s="22" t="str">
        <f t="shared" ca="1" si="0"/>
        <v/>
      </c>
      <c r="O21" s="6" t="str">
        <f t="shared" si="1"/>
        <v/>
      </c>
      <c r="P21" s="6" t="str">
        <f t="shared" ca="1" si="2"/>
        <v/>
      </c>
      <c r="Q21" s="6"/>
      <c r="R21" s="6"/>
      <c r="S21" s="16"/>
      <c r="T21" s="11"/>
    </row>
    <row r="22" spans="1:20">
      <c r="A22" s="10"/>
      <c r="B22" s="6"/>
      <c r="C22" s="6"/>
      <c r="D22" s="6"/>
      <c r="E22" s="6"/>
      <c r="F22" s="6"/>
      <c r="G22" s="6"/>
      <c r="H22" s="6"/>
      <c r="I22" s="19"/>
      <c r="J22" s="19" t="str">
        <f>IF(A22="","",I22+SUMIFS('Chemical Usage Log'!$F$3:$F$202,'Chemical Usage Log'!$C$3:$C$202,A22,'Chemical Usage Log'!$E$3:$E$202,"Received")-SUMIFS('Chemical Usage Log'!$F$3:$F$202,'Chemical Usage Log'!$C$3:$C$202,A22,'Chemical Usage Log'!$E$3:$E$202,"Used")-SUMIFS('Chemical Usage Log'!$F$3:$F$202,'Chemical Usage Log'!$C$3:$C$202,A22,'Chemical Usage Log'!$E$3:$E$202,"Disposed")+SUMIFS('Chemical Usage Log'!$F$3:$F$202,'Chemical Usage Log'!$C$3:$C$202,A22,'Chemical Usage Log'!$E$3:$E$202,"Adjusted"))</f>
        <v/>
      </c>
      <c r="K22" s="19"/>
      <c r="L22" s="16"/>
      <c r="M22" s="16"/>
      <c r="N22" s="22" t="str">
        <f t="shared" ca="1" si="0"/>
        <v/>
      </c>
      <c r="O22" s="6" t="str">
        <f t="shared" si="1"/>
        <v/>
      </c>
      <c r="P22" s="6" t="str">
        <f t="shared" ca="1" si="2"/>
        <v/>
      </c>
      <c r="Q22" s="6"/>
      <c r="R22" s="6"/>
      <c r="S22" s="16"/>
      <c r="T22" s="11"/>
    </row>
    <row r="23" spans="1:20">
      <c r="A23" s="10"/>
      <c r="B23" s="6"/>
      <c r="C23" s="6"/>
      <c r="D23" s="6"/>
      <c r="E23" s="6"/>
      <c r="F23" s="6"/>
      <c r="G23" s="6"/>
      <c r="H23" s="6"/>
      <c r="I23" s="19"/>
      <c r="J23" s="19" t="str">
        <f>IF(A23="","",I23+SUMIFS('Chemical Usage Log'!$F$3:$F$202,'Chemical Usage Log'!$C$3:$C$202,A23,'Chemical Usage Log'!$E$3:$E$202,"Received")-SUMIFS('Chemical Usage Log'!$F$3:$F$202,'Chemical Usage Log'!$C$3:$C$202,A23,'Chemical Usage Log'!$E$3:$E$202,"Used")-SUMIFS('Chemical Usage Log'!$F$3:$F$202,'Chemical Usage Log'!$C$3:$C$202,A23,'Chemical Usage Log'!$E$3:$E$202,"Disposed")+SUMIFS('Chemical Usage Log'!$F$3:$F$202,'Chemical Usage Log'!$C$3:$C$202,A23,'Chemical Usage Log'!$E$3:$E$202,"Adjusted"))</f>
        <v/>
      </c>
      <c r="K23" s="19"/>
      <c r="L23" s="16"/>
      <c r="M23" s="16"/>
      <c r="N23" s="22" t="str">
        <f t="shared" ca="1" si="0"/>
        <v/>
      </c>
      <c r="O23" s="6" t="str">
        <f t="shared" si="1"/>
        <v/>
      </c>
      <c r="P23" s="6" t="str">
        <f t="shared" ca="1" si="2"/>
        <v/>
      </c>
      <c r="Q23" s="6"/>
      <c r="R23" s="6"/>
      <c r="S23" s="16"/>
      <c r="T23" s="11"/>
    </row>
    <row r="24" spans="1:20">
      <c r="A24" s="10"/>
      <c r="B24" s="6"/>
      <c r="C24" s="6"/>
      <c r="D24" s="6"/>
      <c r="E24" s="6"/>
      <c r="F24" s="6"/>
      <c r="G24" s="6"/>
      <c r="H24" s="6"/>
      <c r="I24" s="19"/>
      <c r="J24" s="19" t="str">
        <f>IF(A24="","",I24+SUMIFS('Chemical Usage Log'!$F$3:$F$202,'Chemical Usage Log'!$C$3:$C$202,A24,'Chemical Usage Log'!$E$3:$E$202,"Received")-SUMIFS('Chemical Usage Log'!$F$3:$F$202,'Chemical Usage Log'!$C$3:$C$202,A24,'Chemical Usage Log'!$E$3:$E$202,"Used")-SUMIFS('Chemical Usage Log'!$F$3:$F$202,'Chemical Usage Log'!$C$3:$C$202,A24,'Chemical Usage Log'!$E$3:$E$202,"Disposed")+SUMIFS('Chemical Usage Log'!$F$3:$F$202,'Chemical Usage Log'!$C$3:$C$202,A24,'Chemical Usage Log'!$E$3:$E$202,"Adjusted"))</f>
        <v/>
      </c>
      <c r="K24" s="19"/>
      <c r="L24" s="16"/>
      <c r="M24" s="16"/>
      <c r="N24" s="22" t="str">
        <f t="shared" ca="1" si="0"/>
        <v/>
      </c>
      <c r="O24" s="6" t="str">
        <f t="shared" si="1"/>
        <v/>
      </c>
      <c r="P24" s="6" t="str">
        <f t="shared" ca="1" si="2"/>
        <v/>
      </c>
      <c r="Q24" s="6"/>
      <c r="R24" s="6"/>
      <c r="S24" s="16"/>
      <c r="T24" s="11"/>
    </row>
    <row r="25" spans="1:20">
      <c r="A25" s="10"/>
      <c r="B25" s="6"/>
      <c r="C25" s="6"/>
      <c r="D25" s="6"/>
      <c r="E25" s="6"/>
      <c r="F25" s="6"/>
      <c r="G25" s="6"/>
      <c r="H25" s="6"/>
      <c r="I25" s="19"/>
      <c r="J25" s="19" t="str">
        <f>IF(A25="","",I25+SUMIFS('Chemical Usage Log'!$F$3:$F$202,'Chemical Usage Log'!$C$3:$C$202,A25,'Chemical Usage Log'!$E$3:$E$202,"Received")-SUMIFS('Chemical Usage Log'!$F$3:$F$202,'Chemical Usage Log'!$C$3:$C$202,A25,'Chemical Usage Log'!$E$3:$E$202,"Used")-SUMIFS('Chemical Usage Log'!$F$3:$F$202,'Chemical Usage Log'!$C$3:$C$202,A25,'Chemical Usage Log'!$E$3:$E$202,"Disposed")+SUMIFS('Chemical Usage Log'!$F$3:$F$202,'Chemical Usage Log'!$C$3:$C$202,A25,'Chemical Usage Log'!$E$3:$E$202,"Adjusted"))</f>
        <v/>
      </c>
      <c r="K25" s="19"/>
      <c r="L25" s="16"/>
      <c r="M25" s="16"/>
      <c r="N25" s="22" t="str">
        <f t="shared" ca="1" si="0"/>
        <v/>
      </c>
      <c r="O25" s="6" t="str">
        <f t="shared" si="1"/>
        <v/>
      </c>
      <c r="P25" s="6" t="str">
        <f t="shared" ca="1" si="2"/>
        <v/>
      </c>
      <c r="Q25" s="6"/>
      <c r="R25" s="6"/>
      <c r="S25" s="16"/>
      <c r="T25" s="11"/>
    </row>
    <row r="26" spans="1:20">
      <c r="A26" s="10"/>
      <c r="B26" s="6"/>
      <c r="C26" s="6"/>
      <c r="D26" s="6"/>
      <c r="E26" s="6"/>
      <c r="F26" s="6"/>
      <c r="G26" s="6"/>
      <c r="H26" s="6"/>
      <c r="I26" s="19"/>
      <c r="J26" s="19" t="str">
        <f>IF(A26="","",I26+SUMIFS('Chemical Usage Log'!$F$3:$F$202,'Chemical Usage Log'!$C$3:$C$202,A26,'Chemical Usage Log'!$E$3:$E$202,"Received")-SUMIFS('Chemical Usage Log'!$F$3:$F$202,'Chemical Usage Log'!$C$3:$C$202,A26,'Chemical Usage Log'!$E$3:$E$202,"Used")-SUMIFS('Chemical Usage Log'!$F$3:$F$202,'Chemical Usage Log'!$C$3:$C$202,A26,'Chemical Usage Log'!$E$3:$E$202,"Disposed")+SUMIFS('Chemical Usage Log'!$F$3:$F$202,'Chemical Usage Log'!$C$3:$C$202,A26,'Chemical Usage Log'!$E$3:$E$202,"Adjusted"))</f>
        <v/>
      </c>
      <c r="K26" s="19"/>
      <c r="L26" s="16"/>
      <c r="M26" s="16"/>
      <c r="N26" s="22" t="str">
        <f t="shared" ca="1" si="0"/>
        <v/>
      </c>
      <c r="O26" s="6" t="str">
        <f t="shared" si="1"/>
        <v/>
      </c>
      <c r="P26" s="6" t="str">
        <f t="shared" ca="1" si="2"/>
        <v/>
      </c>
      <c r="Q26" s="6"/>
      <c r="R26" s="6"/>
      <c r="S26" s="16"/>
      <c r="T26" s="11"/>
    </row>
    <row r="27" spans="1:20">
      <c r="A27" s="10"/>
      <c r="B27" s="6"/>
      <c r="C27" s="6"/>
      <c r="D27" s="6"/>
      <c r="E27" s="6"/>
      <c r="F27" s="6"/>
      <c r="G27" s="6"/>
      <c r="H27" s="6"/>
      <c r="I27" s="19"/>
      <c r="J27" s="19" t="str">
        <f>IF(A27="","",I27+SUMIFS('Chemical Usage Log'!$F$3:$F$202,'Chemical Usage Log'!$C$3:$C$202,A27,'Chemical Usage Log'!$E$3:$E$202,"Received")-SUMIFS('Chemical Usage Log'!$F$3:$F$202,'Chemical Usage Log'!$C$3:$C$202,A27,'Chemical Usage Log'!$E$3:$E$202,"Used")-SUMIFS('Chemical Usage Log'!$F$3:$F$202,'Chemical Usage Log'!$C$3:$C$202,A27,'Chemical Usage Log'!$E$3:$E$202,"Disposed")+SUMIFS('Chemical Usage Log'!$F$3:$F$202,'Chemical Usage Log'!$C$3:$C$202,A27,'Chemical Usage Log'!$E$3:$E$202,"Adjusted"))</f>
        <v/>
      </c>
      <c r="K27" s="19"/>
      <c r="L27" s="16"/>
      <c r="M27" s="16"/>
      <c r="N27" s="22" t="str">
        <f t="shared" ca="1" si="0"/>
        <v/>
      </c>
      <c r="O27" s="6" t="str">
        <f t="shared" si="1"/>
        <v/>
      </c>
      <c r="P27" s="6" t="str">
        <f t="shared" ca="1" si="2"/>
        <v/>
      </c>
      <c r="Q27" s="6"/>
      <c r="R27" s="6"/>
      <c r="S27" s="16"/>
      <c r="T27" s="11"/>
    </row>
    <row r="28" spans="1:20">
      <c r="A28" s="10"/>
      <c r="B28" s="6"/>
      <c r="C28" s="6"/>
      <c r="D28" s="6"/>
      <c r="E28" s="6"/>
      <c r="F28" s="6"/>
      <c r="G28" s="6"/>
      <c r="H28" s="6"/>
      <c r="I28" s="19"/>
      <c r="J28" s="19" t="str">
        <f>IF(A28="","",I28+SUMIFS('Chemical Usage Log'!$F$3:$F$202,'Chemical Usage Log'!$C$3:$C$202,A28,'Chemical Usage Log'!$E$3:$E$202,"Received")-SUMIFS('Chemical Usage Log'!$F$3:$F$202,'Chemical Usage Log'!$C$3:$C$202,A28,'Chemical Usage Log'!$E$3:$E$202,"Used")-SUMIFS('Chemical Usage Log'!$F$3:$F$202,'Chemical Usage Log'!$C$3:$C$202,A28,'Chemical Usage Log'!$E$3:$E$202,"Disposed")+SUMIFS('Chemical Usage Log'!$F$3:$F$202,'Chemical Usage Log'!$C$3:$C$202,A28,'Chemical Usage Log'!$E$3:$E$202,"Adjusted"))</f>
        <v/>
      </c>
      <c r="K28" s="19"/>
      <c r="L28" s="16"/>
      <c r="M28" s="16"/>
      <c r="N28" s="22" t="str">
        <f t="shared" ca="1" si="0"/>
        <v/>
      </c>
      <c r="O28" s="6" t="str">
        <f t="shared" si="1"/>
        <v/>
      </c>
      <c r="P28" s="6" t="str">
        <f t="shared" ca="1" si="2"/>
        <v/>
      </c>
      <c r="Q28" s="6"/>
      <c r="R28" s="6"/>
      <c r="S28" s="16"/>
      <c r="T28" s="11"/>
    </row>
    <row r="29" spans="1:20">
      <c r="A29" s="10"/>
      <c r="B29" s="6"/>
      <c r="C29" s="6"/>
      <c r="D29" s="6"/>
      <c r="E29" s="6"/>
      <c r="F29" s="6"/>
      <c r="G29" s="6"/>
      <c r="H29" s="6"/>
      <c r="I29" s="19"/>
      <c r="J29" s="19" t="str">
        <f>IF(A29="","",I29+SUMIFS('Chemical Usage Log'!$F$3:$F$202,'Chemical Usage Log'!$C$3:$C$202,A29,'Chemical Usage Log'!$E$3:$E$202,"Received")-SUMIFS('Chemical Usage Log'!$F$3:$F$202,'Chemical Usage Log'!$C$3:$C$202,A29,'Chemical Usage Log'!$E$3:$E$202,"Used")-SUMIFS('Chemical Usage Log'!$F$3:$F$202,'Chemical Usage Log'!$C$3:$C$202,A29,'Chemical Usage Log'!$E$3:$E$202,"Disposed")+SUMIFS('Chemical Usage Log'!$F$3:$F$202,'Chemical Usage Log'!$C$3:$C$202,A29,'Chemical Usage Log'!$E$3:$E$202,"Adjusted"))</f>
        <v/>
      </c>
      <c r="K29" s="19"/>
      <c r="L29" s="16"/>
      <c r="M29" s="16"/>
      <c r="N29" s="22" t="str">
        <f t="shared" ca="1" si="0"/>
        <v/>
      </c>
      <c r="O29" s="6" t="str">
        <f t="shared" si="1"/>
        <v/>
      </c>
      <c r="P29" s="6" t="str">
        <f t="shared" ca="1" si="2"/>
        <v/>
      </c>
      <c r="Q29" s="6"/>
      <c r="R29" s="6"/>
      <c r="S29" s="16"/>
      <c r="T29" s="11"/>
    </row>
    <row r="30" spans="1:20">
      <c r="A30" s="10"/>
      <c r="B30" s="6"/>
      <c r="C30" s="6"/>
      <c r="D30" s="6"/>
      <c r="E30" s="6"/>
      <c r="F30" s="6"/>
      <c r="G30" s="6"/>
      <c r="H30" s="6"/>
      <c r="I30" s="19"/>
      <c r="J30" s="19" t="str">
        <f>IF(A30="","",I30+SUMIFS('Chemical Usage Log'!$F$3:$F$202,'Chemical Usage Log'!$C$3:$C$202,A30,'Chemical Usage Log'!$E$3:$E$202,"Received")-SUMIFS('Chemical Usage Log'!$F$3:$F$202,'Chemical Usage Log'!$C$3:$C$202,A30,'Chemical Usage Log'!$E$3:$E$202,"Used")-SUMIFS('Chemical Usage Log'!$F$3:$F$202,'Chemical Usage Log'!$C$3:$C$202,A30,'Chemical Usage Log'!$E$3:$E$202,"Disposed")+SUMIFS('Chemical Usage Log'!$F$3:$F$202,'Chemical Usage Log'!$C$3:$C$202,A30,'Chemical Usage Log'!$E$3:$E$202,"Adjusted"))</f>
        <v/>
      </c>
      <c r="K30" s="19"/>
      <c r="L30" s="16"/>
      <c r="M30" s="16"/>
      <c r="N30" s="22" t="str">
        <f t="shared" ca="1" si="0"/>
        <v/>
      </c>
      <c r="O30" s="6" t="str">
        <f t="shared" si="1"/>
        <v/>
      </c>
      <c r="P30" s="6" t="str">
        <f t="shared" ca="1" si="2"/>
        <v/>
      </c>
      <c r="Q30" s="6"/>
      <c r="R30" s="6"/>
      <c r="S30" s="16"/>
      <c r="T30" s="11"/>
    </row>
    <row r="31" spans="1:20">
      <c r="A31" s="10"/>
      <c r="B31" s="6"/>
      <c r="C31" s="6"/>
      <c r="D31" s="6"/>
      <c r="E31" s="6"/>
      <c r="F31" s="6"/>
      <c r="G31" s="6"/>
      <c r="H31" s="6"/>
      <c r="I31" s="19"/>
      <c r="J31" s="19" t="str">
        <f>IF(A31="","",I31+SUMIFS('Chemical Usage Log'!$F$3:$F$202,'Chemical Usage Log'!$C$3:$C$202,A31,'Chemical Usage Log'!$E$3:$E$202,"Received")-SUMIFS('Chemical Usage Log'!$F$3:$F$202,'Chemical Usage Log'!$C$3:$C$202,A31,'Chemical Usage Log'!$E$3:$E$202,"Used")-SUMIFS('Chemical Usage Log'!$F$3:$F$202,'Chemical Usage Log'!$C$3:$C$202,A31,'Chemical Usage Log'!$E$3:$E$202,"Disposed")+SUMIFS('Chemical Usage Log'!$F$3:$F$202,'Chemical Usage Log'!$C$3:$C$202,A31,'Chemical Usage Log'!$E$3:$E$202,"Adjusted"))</f>
        <v/>
      </c>
      <c r="K31" s="19"/>
      <c r="L31" s="16"/>
      <c r="M31" s="16"/>
      <c r="N31" s="22" t="str">
        <f t="shared" ca="1" si="0"/>
        <v/>
      </c>
      <c r="O31" s="6" t="str">
        <f t="shared" si="1"/>
        <v/>
      </c>
      <c r="P31" s="6" t="str">
        <f t="shared" ca="1" si="2"/>
        <v/>
      </c>
      <c r="Q31" s="6"/>
      <c r="R31" s="6"/>
      <c r="S31" s="16"/>
      <c r="T31" s="11"/>
    </row>
    <row r="32" spans="1:20">
      <c r="A32" s="10"/>
      <c r="B32" s="6"/>
      <c r="C32" s="6"/>
      <c r="D32" s="6"/>
      <c r="E32" s="6"/>
      <c r="F32" s="6"/>
      <c r="G32" s="6"/>
      <c r="H32" s="6"/>
      <c r="I32" s="19"/>
      <c r="J32" s="19" t="str">
        <f>IF(A32="","",I32+SUMIFS('Chemical Usage Log'!$F$3:$F$202,'Chemical Usage Log'!$C$3:$C$202,A32,'Chemical Usage Log'!$E$3:$E$202,"Received")-SUMIFS('Chemical Usage Log'!$F$3:$F$202,'Chemical Usage Log'!$C$3:$C$202,A32,'Chemical Usage Log'!$E$3:$E$202,"Used")-SUMIFS('Chemical Usage Log'!$F$3:$F$202,'Chemical Usage Log'!$C$3:$C$202,A32,'Chemical Usage Log'!$E$3:$E$202,"Disposed")+SUMIFS('Chemical Usage Log'!$F$3:$F$202,'Chemical Usage Log'!$C$3:$C$202,A32,'Chemical Usage Log'!$E$3:$E$202,"Adjusted"))</f>
        <v/>
      </c>
      <c r="K32" s="19"/>
      <c r="L32" s="16"/>
      <c r="M32" s="16"/>
      <c r="N32" s="22" t="str">
        <f t="shared" ca="1" si="0"/>
        <v/>
      </c>
      <c r="O32" s="6" t="str">
        <f t="shared" si="1"/>
        <v/>
      </c>
      <c r="P32" s="6" t="str">
        <f t="shared" ca="1" si="2"/>
        <v/>
      </c>
      <c r="Q32" s="6"/>
      <c r="R32" s="6"/>
      <c r="S32" s="16"/>
      <c r="T32" s="11"/>
    </row>
    <row r="33" spans="1:20">
      <c r="A33" s="10"/>
      <c r="B33" s="6"/>
      <c r="C33" s="6"/>
      <c r="D33" s="6"/>
      <c r="E33" s="6"/>
      <c r="F33" s="6"/>
      <c r="G33" s="6"/>
      <c r="H33" s="6"/>
      <c r="I33" s="19"/>
      <c r="J33" s="19" t="str">
        <f>IF(A33="","",I33+SUMIFS('Chemical Usage Log'!$F$3:$F$202,'Chemical Usage Log'!$C$3:$C$202,A33,'Chemical Usage Log'!$E$3:$E$202,"Received")-SUMIFS('Chemical Usage Log'!$F$3:$F$202,'Chemical Usage Log'!$C$3:$C$202,A33,'Chemical Usage Log'!$E$3:$E$202,"Used")-SUMIFS('Chemical Usage Log'!$F$3:$F$202,'Chemical Usage Log'!$C$3:$C$202,A33,'Chemical Usage Log'!$E$3:$E$202,"Disposed")+SUMIFS('Chemical Usage Log'!$F$3:$F$202,'Chemical Usage Log'!$C$3:$C$202,A33,'Chemical Usage Log'!$E$3:$E$202,"Adjusted"))</f>
        <v/>
      </c>
      <c r="K33" s="19"/>
      <c r="L33" s="16"/>
      <c r="M33" s="16"/>
      <c r="N33" s="22" t="str">
        <f t="shared" ca="1" si="0"/>
        <v/>
      </c>
      <c r="O33" s="6" t="str">
        <f t="shared" si="1"/>
        <v/>
      </c>
      <c r="P33" s="6" t="str">
        <f t="shared" ca="1" si="2"/>
        <v/>
      </c>
      <c r="Q33" s="6"/>
      <c r="R33" s="6"/>
      <c r="S33" s="16"/>
      <c r="T33" s="11"/>
    </row>
    <row r="34" spans="1:20">
      <c r="A34" s="10"/>
      <c r="B34" s="6"/>
      <c r="C34" s="6"/>
      <c r="D34" s="6"/>
      <c r="E34" s="6"/>
      <c r="F34" s="6"/>
      <c r="G34" s="6"/>
      <c r="H34" s="6"/>
      <c r="I34" s="19"/>
      <c r="J34" s="19" t="str">
        <f>IF(A34="","",I34+SUMIFS('Chemical Usage Log'!$F$3:$F$202,'Chemical Usage Log'!$C$3:$C$202,A34,'Chemical Usage Log'!$E$3:$E$202,"Received")-SUMIFS('Chemical Usage Log'!$F$3:$F$202,'Chemical Usage Log'!$C$3:$C$202,A34,'Chemical Usage Log'!$E$3:$E$202,"Used")-SUMIFS('Chemical Usage Log'!$F$3:$F$202,'Chemical Usage Log'!$C$3:$C$202,A34,'Chemical Usage Log'!$E$3:$E$202,"Disposed")+SUMIFS('Chemical Usage Log'!$F$3:$F$202,'Chemical Usage Log'!$C$3:$C$202,A34,'Chemical Usage Log'!$E$3:$E$202,"Adjusted"))</f>
        <v/>
      </c>
      <c r="K34" s="19"/>
      <c r="L34" s="16"/>
      <c r="M34" s="16"/>
      <c r="N34" s="22" t="str">
        <f t="shared" ca="1" si="0"/>
        <v/>
      </c>
      <c r="O34" s="6" t="str">
        <f t="shared" si="1"/>
        <v/>
      </c>
      <c r="P34" s="6" t="str">
        <f t="shared" ca="1" si="2"/>
        <v/>
      </c>
      <c r="Q34" s="6"/>
      <c r="R34" s="6"/>
      <c r="S34" s="16"/>
      <c r="T34" s="11"/>
    </row>
    <row r="35" spans="1:20">
      <c r="A35" s="10"/>
      <c r="B35" s="6"/>
      <c r="C35" s="6"/>
      <c r="D35" s="6"/>
      <c r="E35" s="6"/>
      <c r="F35" s="6"/>
      <c r="G35" s="6"/>
      <c r="H35" s="6"/>
      <c r="I35" s="19"/>
      <c r="J35" s="19" t="str">
        <f>IF(A35="","",I35+SUMIFS('Chemical Usage Log'!$F$3:$F$202,'Chemical Usage Log'!$C$3:$C$202,A35,'Chemical Usage Log'!$E$3:$E$202,"Received")-SUMIFS('Chemical Usage Log'!$F$3:$F$202,'Chemical Usage Log'!$C$3:$C$202,A35,'Chemical Usage Log'!$E$3:$E$202,"Used")-SUMIFS('Chemical Usage Log'!$F$3:$F$202,'Chemical Usage Log'!$C$3:$C$202,A35,'Chemical Usage Log'!$E$3:$E$202,"Disposed")+SUMIFS('Chemical Usage Log'!$F$3:$F$202,'Chemical Usage Log'!$C$3:$C$202,A35,'Chemical Usage Log'!$E$3:$E$202,"Adjusted"))</f>
        <v/>
      </c>
      <c r="K35" s="19"/>
      <c r="L35" s="16"/>
      <c r="M35" s="16"/>
      <c r="N35" s="22" t="str">
        <f t="shared" ref="N35:N66" ca="1" si="3">IF(M35="","",M35-TODAY())</f>
        <v/>
      </c>
      <c r="O35" s="6" t="str">
        <f t="shared" ref="O35:O66" si="4">IF(J35="","",IF(J35&lt;=0,"OUT OF STOCK",IF(J35&lt;=K35,"LOW STOCK","OK")))</f>
        <v/>
      </c>
      <c r="P35" s="6" t="str">
        <f t="shared" ref="P35:P66" ca="1" si="5">IF(A35="","",IF(M35="","NO EXPIRY DATE",IF(M35&lt;TODAY(),"EXPIRED",IF(M35-TODAY()&lt;=30,"EXPIRING &lt;=30 DAYS",IF(M35-TODAY()&lt;=90,"EXPIRING &lt;=90 DAYS","OK")))))</f>
        <v/>
      </c>
      <c r="Q35" s="6"/>
      <c r="R35" s="6"/>
      <c r="S35" s="16"/>
      <c r="T35" s="11"/>
    </row>
    <row r="36" spans="1:20">
      <c r="A36" s="10"/>
      <c r="B36" s="6"/>
      <c r="C36" s="6"/>
      <c r="D36" s="6"/>
      <c r="E36" s="6"/>
      <c r="F36" s="6"/>
      <c r="G36" s="6"/>
      <c r="H36" s="6"/>
      <c r="I36" s="19"/>
      <c r="J36" s="19" t="str">
        <f>IF(A36="","",I36+SUMIFS('Chemical Usage Log'!$F$3:$F$202,'Chemical Usage Log'!$C$3:$C$202,A36,'Chemical Usage Log'!$E$3:$E$202,"Received")-SUMIFS('Chemical Usage Log'!$F$3:$F$202,'Chemical Usage Log'!$C$3:$C$202,A36,'Chemical Usage Log'!$E$3:$E$202,"Used")-SUMIFS('Chemical Usage Log'!$F$3:$F$202,'Chemical Usage Log'!$C$3:$C$202,A36,'Chemical Usage Log'!$E$3:$E$202,"Disposed")+SUMIFS('Chemical Usage Log'!$F$3:$F$202,'Chemical Usage Log'!$C$3:$C$202,A36,'Chemical Usage Log'!$E$3:$E$202,"Adjusted"))</f>
        <v/>
      </c>
      <c r="K36" s="19"/>
      <c r="L36" s="16"/>
      <c r="M36" s="16"/>
      <c r="N36" s="22" t="str">
        <f t="shared" ca="1" si="3"/>
        <v/>
      </c>
      <c r="O36" s="6" t="str">
        <f t="shared" si="4"/>
        <v/>
      </c>
      <c r="P36" s="6" t="str">
        <f t="shared" ca="1" si="5"/>
        <v/>
      </c>
      <c r="Q36" s="6"/>
      <c r="R36" s="6"/>
      <c r="S36" s="16"/>
      <c r="T36" s="11"/>
    </row>
    <row r="37" spans="1:20">
      <c r="A37" s="10"/>
      <c r="B37" s="6"/>
      <c r="C37" s="6"/>
      <c r="D37" s="6"/>
      <c r="E37" s="6"/>
      <c r="F37" s="6"/>
      <c r="G37" s="6"/>
      <c r="H37" s="6"/>
      <c r="I37" s="19"/>
      <c r="J37" s="19" t="str">
        <f>IF(A37="","",I37+SUMIFS('Chemical Usage Log'!$F$3:$F$202,'Chemical Usage Log'!$C$3:$C$202,A37,'Chemical Usage Log'!$E$3:$E$202,"Received")-SUMIFS('Chemical Usage Log'!$F$3:$F$202,'Chemical Usage Log'!$C$3:$C$202,A37,'Chemical Usage Log'!$E$3:$E$202,"Used")-SUMIFS('Chemical Usage Log'!$F$3:$F$202,'Chemical Usage Log'!$C$3:$C$202,A37,'Chemical Usage Log'!$E$3:$E$202,"Disposed")+SUMIFS('Chemical Usage Log'!$F$3:$F$202,'Chemical Usage Log'!$C$3:$C$202,A37,'Chemical Usage Log'!$E$3:$E$202,"Adjusted"))</f>
        <v/>
      </c>
      <c r="K37" s="19"/>
      <c r="L37" s="16"/>
      <c r="M37" s="16"/>
      <c r="N37" s="22" t="str">
        <f t="shared" ca="1" si="3"/>
        <v/>
      </c>
      <c r="O37" s="6" t="str">
        <f t="shared" si="4"/>
        <v/>
      </c>
      <c r="P37" s="6" t="str">
        <f t="shared" ca="1" si="5"/>
        <v/>
      </c>
      <c r="Q37" s="6"/>
      <c r="R37" s="6"/>
      <c r="S37" s="16"/>
      <c r="T37" s="11"/>
    </row>
    <row r="38" spans="1:20">
      <c r="A38" s="10"/>
      <c r="B38" s="6"/>
      <c r="C38" s="6"/>
      <c r="D38" s="6"/>
      <c r="E38" s="6"/>
      <c r="F38" s="6"/>
      <c r="G38" s="6"/>
      <c r="H38" s="6"/>
      <c r="I38" s="19"/>
      <c r="J38" s="19" t="str">
        <f>IF(A38="","",I38+SUMIFS('Chemical Usage Log'!$F$3:$F$202,'Chemical Usage Log'!$C$3:$C$202,A38,'Chemical Usage Log'!$E$3:$E$202,"Received")-SUMIFS('Chemical Usage Log'!$F$3:$F$202,'Chemical Usage Log'!$C$3:$C$202,A38,'Chemical Usage Log'!$E$3:$E$202,"Used")-SUMIFS('Chemical Usage Log'!$F$3:$F$202,'Chemical Usage Log'!$C$3:$C$202,A38,'Chemical Usage Log'!$E$3:$E$202,"Disposed")+SUMIFS('Chemical Usage Log'!$F$3:$F$202,'Chemical Usage Log'!$C$3:$C$202,A38,'Chemical Usage Log'!$E$3:$E$202,"Adjusted"))</f>
        <v/>
      </c>
      <c r="K38" s="19"/>
      <c r="L38" s="16"/>
      <c r="M38" s="16"/>
      <c r="N38" s="22" t="str">
        <f t="shared" ca="1" si="3"/>
        <v/>
      </c>
      <c r="O38" s="6" t="str">
        <f t="shared" si="4"/>
        <v/>
      </c>
      <c r="P38" s="6" t="str">
        <f t="shared" ca="1" si="5"/>
        <v/>
      </c>
      <c r="Q38" s="6"/>
      <c r="R38" s="6"/>
      <c r="S38" s="16"/>
      <c r="T38" s="11"/>
    </row>
    <row r="39" spans="1:20">
      <c r="A39" s="10"/>
      <c r="B39" s="6"/>
      <c r="C39" s="6"/>
      <c r="D39" s="6"/>
      <c r="E39" s="6"/>
      <c r="F39" s="6"/>
      <c r="G39" s="6"/>
      <c r="H39" s="6"/>
      <c r="I39" s="19"/>
      <c r="J39" s="19" t="str">
        <f>IF(A39="","",I39+SUMIFS('Chemical Usage Log'!$F$3:$F$202,'Chemical Usage Log'!$C$3:$C$202,A39,'Chemical Usage Log'!$E$3:$E$202,"Received")-SUMIFS('Chemical Usage Log'!$F$3:$F$202,'Chemical Usage Log'!$C$3:$C$202,A39,'Chemical Usage Log'!$E$3:$E$202,"Used")-SUMIFS('Chemical Usage Log'!$F$3:$F$202,'Chemical Usage Log'!$C$3:$C$202,A39,'Chemical Usage Log'!$E$3:$E$202,"Disposed")+SUMIFS('Chemical Usage Log'!$F$3:$F$202,'Chemical Usage Log'!$C$3:$C$202,A39,'Chemical Usage Log'!$E$3:$E$202,"Adjusted"))</f>
        <v/>
      </c>
      <c r="K39" s="19"/>
      <c r="L39" s="16"/>
      <c r="M39" s="16"/>
      <c r="N39" s="22" t="str">
        <f t="shared" ca="1" si="3"/>
        <v/>
      </c>
      <c r="O39" s="6" t="str">
        <f t="shared" si="4"/>
        <v/>
      </c>
      <c r="P39" s="6" t="str">
        <f t="shared" ca="1" si="5"/>
        <v/>
      </c>
      <c r="Q39" s="6"/>
      <c r="R39" s="6"/>
      <c r="S39" s="16"/>
      <c r="T39" s="11"/>
    </row>
    <row r="40" spans="1:20">
      <c r="A40" s="10"/>
      <c r="B40" s="6"/>
      <c r="C40" s="6"/>
      <c r="D40" s="6"/>
      <c r="E40" s="6"/>
      <c r="F40" s="6"/>
      <c r="G40" s="6"/>
      <c r="H40" s="6"/>
      <c r="I40" s="19"/>
      <c r="J40" s="19" t="str">
        <f>IF(A40="","",I40+SUMIFS('Chemical Usage Log'!$F$3:$F$202,'Chemical Usage Log'!$C$3:$C$202,A40,'Chemical Usage Log'!$E$3:$E$202,"Received")-SUMIFS('Chemical Usage Log'!$F$3:$F$202,'Chemical Usage Log'!$C$3:$C$202,A40,'Chemical Usage Log'!$E$3:$E$202,"Used")-SUMIFS('Chemical Usage Log'!$F$3:$F$202,'Chemical Usage Log'!$C$3:$C$202,A40,'Chemical Usage Log'!$E$3:$E$202,"Disposed")+SUMIFS('Chemical Usage Log'!$F$3:$F$202,'Chemical Usage Log'!$C$3:$C$202,A40,'Chemical Usage Log'!$E$3:$E$202,"Adjusted"))</f>
        <v/>
      </c>
      <c r="K40" s="19"/>
      <c r="L40" s="16"/>
      <c r="M40" s="16"/>
      <c r="N40" s="22" t="str">
        <f t="shared" ca="1" si="3"/>
        <v/>
      </c>
      <c r="O40" s="6" t="str">
        <f t="shared" si="4"/>
        <v/>
      </c>
      <c r="P40" s="6" t="str">
        <f t="shared" ca="1" si="5"/>
        <v/>
      </c>
      <c r="Q40" s="6"/>
      <c r="R40" s="6"/>
      <c r="S40" s="16"/>
      <c r="T40" s="11"/>
    </row>
    <row r="41" spans="1:20">
      <c r="A41" s="10"/>
      <c r="B41" s="6"/>
      <c r="C41" s="6"/>
      <c r="D41" s="6"/>
      <c r="E41" s="6"/>
      <c r="F41" s="6"/>
      <c r="G41" s="6"/>
      <c r="H41" s="6"/>
      <c r="I41" s="19"/>
      <c r="J41" s="19" t="str">
        <f>IF(A41="","",I41+SUMIFS('Chemical Usage Log'!$F$3:$F$202,'Chemical Usage Log'!$C$3:$C$202,A41,'Chemical Usage Log'!$E$3:$E$202,"Received")-SUMIFS('Chemical Usage Log'!$F$3:$F$202,'Chemical Usage Log'!$C$3:$C$202,A41,'Chemical Usage Log'!$E$3:$E$202,"Used")-SUMIFS('Chemical Usage Log'!$F$3:$F$202,'Chemical Usage Log'!$C$3:$C$202,A41,'Chemical Usage Log'!$E$3:$E$202,"Disposed")+SUMIFS('Chemical Usage Log'!$F$3:$F$202,'Chemical Usage Log'!$C$3:$C$202,A41,'Chemical Usage Log'!$E$3:$E$202,"Adjusted"))</f>
        <v/>
      </c>
      <c r="K41" s="19"/>
      <c r="L41" s="16"/>
      <c r="M41" s="16"/>
      <c r="N41" s="22" t="str">
        <f t="shared" ca="1" si="3"/>
        <v/>
      </c>
      <c r="O41" s="6" t="str">
        <f t="shared" si="4"/>
        <v/>
      </c>
      <c r="P41" s="6" t="str">
        <f t="shared" ca="1" si="5"/>
        <v/>
      </c>
      <c r="Q41" s="6"/>
      <c r="R41" s="6"/>
      <c r="S41" s="16"/>
      <c r="T41" s="11"/>
    </row>
    <row r="42" spans="1:20">
      <c r="A42" s="10"/>
      <c r="B42" s="6"/>
      <c r="C42" s="6"/>
      <c r="D42" s="6"/>
      <c r="E42" s="6"/>
      <c r="F42" s="6"/>
      <c r="G42" s="6"/>
      <c r="H42" s="6"/>
      <c r="I42" s="19"/>
      <c r="J42" s="19" t="str">
        <f>IF(A42="","",I42+SUMIFS('Chemical Usage Log'!$F$3:$F$202,'Chemical Usage Log'!$C$3:$C$202,A42,'Chemical Usage Log'!$E$3:$E$202,"Received")-SUMIFS('Chemical Usage Log'!$F$3:$F$202,'Chemical Usage Log'!$C$3:$C$202,A42,'Chemical Usage Log'!$E$3:$E$202,"Used")-SUMIFS('Chemical Usage Log'!$F$3:$F$202,'Chemical Usage Log'!$C$3:$C$202,A42,'Chemical Usage Log'!$E$3:$E$202,"Disposed")+SUMIFS('Chemical Usage Log'!$F$3:$F$202,'Chemical Usage Log'!$C$3:$C$202,A42,'Chemical Usage Log'!$E$3:$E$202,"Adjusted"))</f>
        <v/>
      </c>
      <c r="K42" s="19"/>
      <c r="L42" s="16"/>
      <c r="M42" s="16"/>
      <c r="N42" s="22" t="str">
        <f t="shared" ca="1" si="3"/>
        <v/>
      </c>
      <c r="O42" s="6" t="str">
        <f t="shared" si="4"/>
        <v/>
      </c>
      <c r="P42" s="6" t="str">
        <f t="shared" ca="1" si="5"/>
        <v/>
      </c>
      <c r="Q42" s="6"/>
      <c r="R42" s="6"/>
      <c r="S42" s="16"/>
      <c r="T42" s="11"/>
    </row>
    <row r="43" spans="1:20">
      <c r="A43" s="10"/>
      <c r="B43" s="6"/>
      <c r="C43" s="6"/>
      <c r="D43" s="6"/>
      <c r="E43" s="6"/>
      <c r="F43" s="6"/>
      <c r="G43" s="6"/>
      <c r="H43" s="6"/>
      <c r="I43" s="19"/>
      <c r="J43" s="19" t="str">
        <f>IF(A43="","",I43+SUMIFS('Chemical Usage Log'!$F$3:$F$202,'Chemical Usage Log'!$C$3:$C$202,A43,'Chemical Usage Log'!$E$3:$E$202,"Received")-SUMIFS('Chemical Usage Log'!$F$3:$F$202,'Chemical Usage Log'!$C$3:$C$202,A43,'Chemical Usage Log'!$E$3:$E$202,"Used")-SUMIFS('Chemical Usage Log'!$F$3:$F$202,'Chemical Usage Log'!$C$3:$C$202,A43,'Chemical Usage Log'!$E$3:$E$202,"Disposed")+SUMIFS('Chemical Usage Log'!$F$3:$F$202,'Chemical Usage Log'!$C$3:$C$202,A43,'Chemical Usage Log'!$E$3:$E$202,"Adjusted"))</f>
        <v/>
      </c>
      <c r="K43" s="19"/>
      <c r="L43" s="16"/>
      <c r="M43" s="16"/>
      <c r="N43" s="22" t="str">
        <f t="shared" ca="1" si="3"/>
        <v/>
      </c>
      <c r="O43" s="6" t="str">
        <f t="shared" si="4"/>
        <v/>
      </c>
      <c r="P43" s="6" t="str">
        <f t="shared" ca="1" si="5"/>
        <v/>
      </c>
      <c r="Q43" s="6"/>
      <c r="R43" s="6"/>
      <c r="S43" s="16"/>
      <c r="T43" s="11"/>
    </row>
    <row r="44" spans="1:20">
      <c r="A44" s="10"/>
      <c r="B44" s="6"/>
      <c r="C44" s="6"/>
      <c r="D44" s="6"/>
      <c r="E44" s="6"/>
      <c r="F44" s="6"/>
      <c r="G44" s="6"/>
      <c r="H44" s="6"/>
      <c r="I44" s="19"/>
      <c r="J44" s="19" t="str">
        <f>IF(A44="","",I44+SUMIFS('Chemical Usage Log'!$F$3:$F$202,'Chemical Usage Log'!$C$3:$C$202,A44,'Chemical Usage Log'!$E$3:$E$202,"Received")-SUMIFS('Chemical Usage Log'!$F$3:$F$202,'Chemical Usage Log'!$C$3:$C$202,A44,'Chemical Usage Log'!$E$3:$E$202,"Used")-SUMIFS('Chemical Usage Log'!$F$3:$F$202,'Chemical Usage Log'!$C$3:$C$202,A44,'Chemical Usage Log'!$E$3:$E$202,"Disposed")+SUMIFS('Chemical Usage Log'!$F$3:$F$202,'Chemical Usage Log'!$C$3:$C$202,A44,'Chemical Usage Log'!$E$3:$E$202,"Adjusted"))</f>
        <v/>
      </c>
      <c r="K44" s="19"/>
      <c r="L44" s="16"/>
      <c r="M44" s="16"/>
      <c r="N44" s="22" t="str">
        <f t="shared" ca="1" si="3"/>
        <v/>
      </c>
      <c r="O44" s="6" t="str">
        <f t="shared" si="4"/>
        <v/>
      </c>
      <c r="P44" s="6" t="str">
        <f t="shared" ca="1" si="5"/>
        <v/>
      </c>
      <c r="Q44" s="6"/>
      <c r="R44" s="6"/>
      <c r="S44" s="16"/>
      <c r="T44" s="11"/>
    </row>
    <row r="45" spans="1:20">
      <c r="A45" s="10"/>
      <c r="B45" s="6"/>
      <c r="C45" s="6"/>
      <c r="D45" s="6"/>
      <c r="E45" s="6"/>
      <c r="F45" s="6"/>
      <c r="G45" s="6"/>
      <c r="H45" s="6"/>
      <c r="I45" s="19"/>
      <c r="J45" s="19" t="str">
        <f>IF(A45="","",I45+SUMIFS('Chemical Usage Log'!$F$3:$F$202,'Chemical Usage Log'!$C$3:$C$202,A45,'Chemical Usage Log'!$E$3:$E$202,"Received")-SUMIFS('Chemical Usage Log'!$F$3:$F$202,'Chemical Usage Log'!$C$3:$C$202,A45,'Chemical Usage Log'!$E$3:$E$202,"Used")-SUMIFS('Chemical Usage Log'!$F$3:$F$202,'Chemical Usage Log'!$C$3:$C$202,A45,'Chemical Usage Log'!$E$3:$E$202,"Disposed")+SUMIFS('Chemical Usage Log'!$F$3:$F$202,'Chemical Usage Log'!$C$3:$C$202,A45,'Chemical Usage Log'!$E$3:$E$202,"Adjusted"))</f>
        <v/>
      </c>
      <c r="K45" s="19"/>
      <c r="L45" s="16"/>
      <c r="M45" s="16"/>
      <c r="N45" s="22" t="str">
        <f t="shared" ca="1" si="3"/>
        <v/>
      </c>
      <c r="O45" s="6" t="str">
        <f t="shared" si="4"/>
        <v/>
      </c>
      <c r="P45" s="6" t="str">
        <f t="shared" ca="1" si="5"/>
        <v/>
      </c>
      <c r="Q45" s="6"/>
      <c r="R45" s="6"/>
      <c r="S45" s="16"/>
      <c r="T45" s="11"/>
    </row>
    <row r="46" spans="1:20">
      <c r="A46" s="10"/>
      <c r="B46" s="6"/>
      <c r="C46" s="6"/>
      <c r="D46" s="6"/>
      <c r="E46" s="6"/>
      <c r="F46" s="6"/>
      <c r="G46" s="6"/>
      <c r="H46" s="6"/>
      <c r="I46" s="19"/>
      <c r="J46" s="19" t="str">
        <f>IF(A46="","",I46+SUMIFS('Chemical Usage Log'!$F$3:$F$202,'Chemical Usage Log'!$C$3:$C$202,A46,'Chemical Usage Log'!$E$3:$E$202,"Received")-SUMIFS('Chemical Usage Log'!$F$3:$F$202,'Chemical Usage Log'!$C$3:$C$202,A46,'Chemical Usage Log'!$E$3:$E$202,"Used")-SUMIFS('Chemical Usage Log'!$F$3:$F$202,'Chemical Usage Log'!$C$3:$C$202,A46,'Chemical Usage Log'!$E$3:$E$202,"Disposed")+SUMIFS('Chemical Usage Log'!$F$3:$F$202,'Chemical Usage Log'!$C$3:$C$202,A46,'Chemical Usage Log'!$E$3:$E$202,"Adjusted"))</f>
        <v/>
      </c>
      <c r="K46" s="19"/>
      <c r="L46" s="16"/>
      <c r="M46" s="16"/>
      <c r="N46" s="22" t="str">
        <f t="shared" ca="1" si="3"/>
        <v/>
      </c>
      <c r="O46" s="6" t="str">
        <f t="shared" si="4"/>
        <v/>
      </c>
      <c r="P46" s="6" t="str">
        <f t="shared" ca="1" si="5"/>
        <v/>
      </c>
      <c r="Q46" s="6"/>
      <c r="R46" s="6"/>
      <c r="S46" s="16"/>
      <c r="T46" s="11"/>
    </row>
    <row r="47" spans="1:20">
      <c r="A47" s="10"/>
      <c r="B47" s="6"/>
      <c r="C47" s="6"/>
      <c r="D47" s="6"/>
      <c r="E47" s="6"/>
      <c r="F47" s="6"/>
      <c r="G47" s="6"/>
      <c r="H47" s="6"/>
      <c r="I47" s="19"/>
      <c r="J47" s="19" t="str">
        <f>IF(A47="","",I47+SUMIFS('Chemical Usage Log'!$F$3:$F$202,'Chemical Usage Log'!$C$3:$C$202,A47,'Chemical Usage Log'!$E$3:$E$202,"Received")-SUMIFS('Chemical Usage Log'!$F$3:$F$202,'Chemical Usage Log'!$C$3:$C$202,A47,'Chemical Usage Log'!$E$3:$E$202,"Used")-SUMIFS('Chemical Usage Log'!$F$3:$F$202,'Chemical Usage Log'!$C$3:$C$202,A47,'Chemical Usage Log'!$E$3:$E$202,"Disposed")+SUMIFS('Chemical Usage Log'!$F$3:$F$202,'Chemical Usage Log'!$C$3:$C$202,A47,'Chemical Usage Log'!$E$3:$E$202,"Adjusted"))</f>
        <v/>
      </c>
      <c r="K47" s="19"/>
      <c r="L47" s="16"/>
      <c r="M47" s="16"/>
      <c r="N47" s="22" t="str">
        <f t="shared" ca="1" si="3"/>
        <v/>
      </c>
      <c r="O47" s="6" t="str">
        <f t="shared" si="4"/>
        <v/>
      </c>
      <c r="P47" s="6" t="str">
        <f t="shared" ca="1" si="5"/>
        <v/>
      </c>
      <c r="Q47" s="6"/>
      <c r="R47" s="6"/>
      <c r="S47" s="16"/>
      <c r="T47" s="11"/>
    </row>
    <row r="48" spans="1:20">
      <c r="A48" s="10"/>
      <c r="B48" s="6"/>
      <c r="C48" s="6"/>
      <c r="D48" s="6"/>
      <c r="E48" s="6"/>
      <c r="F48" s="6"/>
      <c r="G48" s="6"/>
      <c r="H48" s="6"/>
      <c r="I48" s="19"/>
      <c r="J48" s="19" t="str">
        <f>IF(A48="","",I48+SUMIFS('Chemical Usage Log'!$F$3:$F$202,'Chemical Usage Log'!$C$3:$C$202,A48,'Chemical Usage Log'!$E$3:$E$202,"Received")-SUMIFS('Chemical Usage Log'!$F$3:$F$202,'Chemical Usage Log'!$C$3:$C$202,A48,'Chemical Usage Log'!$E$3:$E$202,"Used")-SUMIFS('Chemical Usage Log'!$F$3:$F$202,'Chemical Usage Log'!$C$3:$C$202,A48,'Chemical Usage Log'!$E$3:$E$202,"Disposed")+SUMIFS('Chemical Usage Log'!$F$3:$F$202,'Chemical Usage Log'!$C$3:$C$202,A48,'Chemical Usage Log'!$E$3:$E$202,"Adjusted"))</f>
        <v/>
      </c>
      <c r="K48" s="19"/>
      <c r="L48" s="16"/>
      <c r="M48" s="16"/>
      <c r="N48" s="22" t="str">
        <f t="shared" ca="1" si="3"/>
        <v/>
      </c>
      <c r="O48" s="6" t="str">
        <f t="shared" si="4"/>
        <v/>
      </c>
      <c r="P48" s="6" t="str">
        <f t="shared" ca="1" si="5"/>
        <v/>
      </c>
      <c r="Q48" s="6"/>
      <c r="R48" s="6"/>
      <c r="S48" s="16"/>
      <c r="T48" s="11"/>
    </row>
    <row r="49" spans="1:20">
      <c r="A49" s="10"/>
      <c r="B49" s="6"/>
      <c r="C49" s="6"/>
      <c r="D49" s="6"/>
      <c r="E49" s="6"/>
      <c r="F49" s="6"/>
      <c r="G49" s="6"/>
      <c r="H49" s="6"/>
      <c r="I49" s="19"/>
      <c r="J49" s="19" t="str">
        <f>IF(A49="","",I49+SUMIFS('Chemical Usage Log'!$F$3:$F$202,'Chemical Usage Log'!$C$3:$C$202,A49,'Chemical Usage Log'!$E$3:$E$202,"Received")-SUMIFS('Chemical Usage Log'!$F$3:$F$202,'Chemical Usage Log'!$C$3:$C$202,A49,'Chemical Usage Log'!$E$3:$E$202,"Used")-SUMIFS('Chemical Usage Log'!$F$3:$F$202,'Chemical Usage Log'!$C$3:$C$202,A49,'Chemical Usage Log'!$E$3:$E$202,"Disposed")+SUMIFS('Chemical Usage Log'!$F$3:$F$202,'Chemical Usage Log'!$C$3:$C$202,A49,'Chemical Usage Log'!$E$3:$E$202,"Adjusted"))</f>
        <v/>
      </c>
      <c r="K49" s="19"/>
      <c r="L49" s="16"/>
      <c r="M49" s="16"/>
      <c r="N49" s="22" t="str">
        <f t="shared" ca="1" si="3"/>
        <v/>
      </c>
      <c r="O49" s="6" t="str">
        <f t="shared" si="4"/>
        <v/>
      </c>
      <c r="P49" s="6" t="str">
        <f t="shared" ca="1" si="5"/>
        <v/>
      </c>
      <c r="Q49" s="6"/>
      <c r="R49" s="6"/>
      <c r="S49" s="16"/>
      <c r="T49" s="11"/>
    </row>
    <row r="50" spans="1:20">
      <c r="A50" s="10"/>
      <c r="B50" s="6"/>
      <c r="C50" s="6"/>
      <c r="D50" s="6"/>
      <c r="E50" s="6"/>
      <c r="F50" s="6"/>
      <c r="G50" s="6"/>
      <c r="H50" s="6"/>
      <c r="I50" s="19"/>
      <c r="J50" s="19" t="str">
        <f>IF(A50="","",I50+SUMIFS('Chemical Usage Log'!$F$3:$F$202,'Chemical Usage Log'!$C$3:$C$202,A50,'Chemical Usage Log'!$E$3:$E$202,"Received")-SUMIFS('Chemical Usage Log'!$F$3:$F$202,'Chemical Usage Log'!$C$3:$C$202,A50,'Chemical Usage Log'!$E$3:$E$202,"Used")-SUMIFS('Chemical Usage Log'!$F$3:$F$202,'Chemical Usage Log'!$C$3:$C$202,A50,'Chemical Usage Log'!$E$3:$E$202,"Disposed")+SUMIFS('Chemical Usage Log'!$F$3:$F$202,'Chemical Usage Log'!$C$3:$C$202,A50,'Chemical Usage Log'!$E$3:$E$202,"Adjusted"))</f>
        <v/>
      </c>
      <c r="K50" s="19"/>
      <c r="L50" s="16"/>
      <c r="M50" s="16"/>
      <c r="N50" s="22" t="str">
        <f t="shared" ca="1" si="3"/>
        <v/>
      </c>
      <c r="O50" s="6" t="str">
        <f t="shared" si="4"/>
        <v/>
      </c>
      <c r="P50" s="6" t="str">
        <f t="shared" ca="1" si="5"/>
        <v/>
      </c>
      <c r="Q50" s="6"/>
      <c r="R50" s="6"/>
      <c r="S50" s="16"/>
      <c r="T50" s="11"/>
    </row>
    <row r="51" spans="1:20">
      <c r="A51" s="10"/>
      <c r="B51" s="6"/>
      <c r="C51" s="6"/>
      <c r="D51" s="6"/>
      <c r="E51" s="6"/>
      <c r="F51" s="6"/>
      <c r="G51" s="6"/>
      <c r="H51" s="6"/>
      <c r="I51" s="19"/>
      <c r="J51" s="19" t="str">
        <f>IF(A51="","",I51+SUMIFS('Chemical Usage Log'!$F$3:$F$202,'Chemical Usage Log'!$C$3:$C$202,A51,'Chemical Usage Log'!$E$3:$E$202,"Received")-SUMIFS('Chemical Usage Log'!$F$3:$F$202,'Chemical Usage Log'!$C$3:$C$202,A51,'Chemical Usage Log'!$E$3:$E$202,"Used")-SUMIFS('Chemical Usage Log'!$F$3:$F$202,'Chemical Usage Log'!$C$3:$C$202,A51,'Chemical Usage Log'!$E$3:$E$202,"Disposed")+SUMIFS('Chemical Usage Log'!$F$3:$F$202,'Chemical Usage Log'!$C$3:$C$202,A51,'Chemical Usage Log'!$E$3:$E$202,"Adjusted"))</f>
        <v/>
      </c>
      <c r="K51" s="19"/>
      <c r="L51" s="16"/>
      <c r="M51" s="16"/>
      <c r="N51" s="22" t="str">
        <f t="shared" ca="1" si="3"/>
        <v/>
      </c>
      <c r="O51" s="6" t="str">
        <f t="shared" si="4"/>
        <v/>
      </c>
      <c r="P51" s="6" t="str">
        <f t="shared" ca="1" si="5"/>
        <v/>
      </c>
      <c r="Q51" s="6"/>
      <c r="R51" s="6"/>
      <c r="S51" s="16"/>
      <c r="T51" s="11"/>
    </row>
    <row r="52" spans="1:20">
      <c r="A52" s="10"/>
      <c r="B52" s="6"/>
      <c r="C52" s="6"/>
      <c r="D52" s="6"/>
      <c r="E52" s="6"/>
      <c r="F52" s="6"/>
      <c r="G52" s="6"/>
      <c r="H52" s="6"/>
      <c r="I52" s="19"/>
      <c r="J52" s="19" t="str">
        <f>IF(A52="","",I52+SUMIFS('Chemical Usage Log'!$F$3:$F$202,'Chemical Usage Log'!$C$3:$C$202,A52,'Chemical Usage Log'!$E$3:$E$202,"Received")-SUMIFS('Chemical Usage Log'!$F$3:$F$202,'Chemical Usage Log'!$C$3:$C$202,A52,'Chemical Usage Log'!$E$3:$E$202,"Used")-SUMIFS('Chemical Usage Log'!$F$3:$F$202,'Chemical Usage Log'!$C$3:$C$202,A52,'Chemical Usage Log'!$E$3:$E$202,"Disposed")+SUMIFS('Chemical Usage Log'!$F$3:$F$202,'Chemical Usage Log'!$C$3:$C$202,A52,'Chemical Usage Log'!$E$3:$E$202,"Adjusted"))</f>
        <v/>
      </c>
      <c r="K52" s="19"/>
      <c r="L52" s="16"/>
      <c r="M52" s="16"/>
      <c r="N52" s="22" t="str">
        <f t="shared" ca="1" si="3"/>
        <v/>
      </c>
      <c r="O52" s="6" t="str">
        <f t="shared" si="4"/>
        <v/>
      </c>
      <c r="P52" s="6" t="str">
        <f t="shared" ca="1" si="5"/>
        <v/>
      </c>
      <c r="Q52" s="6"/>
      <c r="R52" s="6"/>
      <c r="S52" s="16"/>
      <c r="T52" s="11"/>
    </row>
    <row r="53" spans="1:20">
      <c r="A53" s="10"/>
      <c r="B53" s="6"/>
      <c r="C53" s="6"/>
      <c r="D53" s="6"/>
      <c r="E53" s="6"/>
      <c r="F53" s="6"/>
      <c r="G53" s="6"/>
      <c r="H53" s="6"/>
      <c r="I53" s="19"/>
      <c r="J53" s="19" t="str">
        <f>IF(A53="","",I53+SUMIFS('Chemical Usage Log'!$F$3:$F$202,'Chemical Usage Log'!$C$3:$C$202,A53,'Chemical Usage Log'!$E$3:$E$202,"Received")-SUMIFS('Chemical Usage Log'!$F$3:$F$202,'Chemical Usage Log'!$C$3:$C$202,A53,'Chemical Usage Log'!$E$3:$E$202,"Used")-SUMIFS('Chemical Usage Log'!$F$3:$F$202,'Chemical Usage Log'!$C$3:$C$202,A53,'Chemical Usage Log'!$E$3:$E$202,"Disposed")+SUMIFS('Chemical Usage Log'!$F$3:$F$202,'Chemical Usage Log'!$C$3:$C$202,A53,'Chemical Usage Log'!$E$3:$E$202,"Adjusted"))</f>
        <v/>
      </c>
      <c r="K53" s="19"/>
      <c r="L53" s="16"/>
      <c r="M53" s="16"/>
      <c r="N53" s="22" t="str">
        <f t="shared" ca="1" si="3"/>
        <v/>
      </c>
      <c r="O53" s="6" t="str">
        <f t="shared" si="4"/>
        <v/>
      </c>
      <c r="P53" s="6" t="str">
        <f t="shared" ca="1" si="5"/>
        <v/>
      </c>
      <c r="Q53" s="6"/>
      <c r="R53" s="6"/>
      <c r="S53" s="16"/>
      <c r="T53" s="11"/>
    </row>
    <row r="54" spans="1:20">
      <c r="A54" s="10"/>
      <c r="B54" s="6"/>
      <c r="C54" s="6"/>
      <c r="D54" s="6"/>
      <c r="E54" s="6"/>
      <c r="F54" s="6"/>
      <c r="G54" s="6"/>
      <c r="H54" s="6"/>
      <c r="I54" s="19"/>
      <c r="J54" s="19" t="str">
        <f>IF(A54="","",I54+SUMIFS('Chemical Usage Log'!$F$3:$F$202,'Chemical Usage Log'!$C$3:$C$202,A54,'Chemical Usage Log'!$E$3:$E$202,"Received")-SUMIFS('Chemical Usage Log'!$F$3:$F$202,'Chemical Usage Log'!$C$3:$C$202,A54,'Chemical Usage Log'!$E$3:$E$202,"Used")-SUMIFS('Chemical Usage Log'!$F$3:$F$202,'Chemical Usage Log'!$C$3:$C$202,A54,'Chemical Usage Log'!$E$3:$E$202,"Disposed")+SUMIFS('Chemical Usage Log'!$F$3:$F$202,'Chemical Usage Log'!$C$3:$C$202,A54,'Chemical Usage Log'!$E$3:$E$202,"Adjusted"))</f>
        <v/>
      </c>
      <c r="K54" s="19"/>
      <c r="L54" s="16"/>
      <c r="M54" s="16"/>
      <c r="N54" s="22" t="str">
        <f t="shared" ca="1" si="3"/>
        <v/>
      </c>
      <c r="O54" s="6" t="str">
        <f t="shared" si="4"/>
        <v/>
      </c>
      <c r="P54" s="6" t="str">
        <f t="shared" ca="1" si="5"/>
        <v/>
      </c>
      <c r="Q54" s="6"/>
      <c r="R54" s="6"/>
      <c r="S54" s="16"/>
      <c r="T54" s="11"/>
    </row>
    <row r="55" spans="1:20">
      <c r="A55" s="10"/>
      <c r="B55" s="6"/>
      <c r="C55" s="6"/>
      <c r="D55" s="6"/>
      <c r="E55" s="6"/>
      <c r="F55" s="6"/>
      <c r="G55" s="6"/>
      <c r="H55" s="6"/>
      <c r="I55" s="19"/>
      <c r="J55" s="19" t="str">
        <f>IF(A55="","",I55+SUMIFS('Chemical Usage Log'!$F$3:$F$202,'Chemical Usage Log'!$C$3:$C$202,A55,'Chemical Usage Log'!$E$3:$E$202,"Received")-SUMIFS('Chemical Usage Log'!$F$3:$F$202,'Chemical Usage Log'!$C$3:$C$202,A55,'Chemical Usage Log'!$E$3:$E$202,"Used")-SUMIFS('Chemical Usage Log'!$F$3:$F$202,'Chemical Usage Log'!$C$3:$C$202,A55,'Chemical Usage Log'!$E$3:$E$202,"Disposed")+SUMIFS('Chemical Usage Log'!$F$3:$F$202,'Chemical Usage Log'!$C$3:$C$202,A55,'Chemical Usage Log'!$E$3:$E$202,"Adjusted"))</f>
        <v/>
      </c>
      <c r="K55" s="19"/>
      <c r="L55" s="16"/>
      <c r="M55" s="16"/>
      <c r="N55" s="22" t="str">
        <f t="shared" ca="1" si="3"/>
        <v/>
      </c>
      <c r="O55" s="6" t="str">
        <f t="shared" si="4"/>
        <v/>
      </c>
      <c r="P55" s="6" t="str">
        <f t="shared" ca="1" si="5"/>
        <v/>
      </c>
      <c r="Q55" s="6"/>
      <c r="R55" s="6"/>
      <c r="S55" s="16"/>
      <c r="T55" s="11"/>
    </row>
    <row r="56" spans="1:20">
      <c r="A56" s="10"/>
      <c r="B56" s="6"/>
      <c r="C56" s="6"/>
      <c r="D56" s="6"/>
      <c r="E56" s="6"/>
      <c r="F56" s="6"/>
      <c r="G56" s="6"/>
      <c r="H56" s="6"/>
      <c r="I56" s="19"/>
      <c r="J56" s="19" t="str">
        <f>IF(A56="","",I56+SUMIFS('Chemical Usage Log'!$F$3:$F$202,'Chemical Usage Log'!$C$3:$C$202,A56,'Chemical Usage Log'!$E$3:$E$202,"Received")-SUMIFS('Chemical Usage Log'!$F$3:$F$202,'Chemical Usage Log'!$C$3:$C$202,A56,'Chemical Usage Log'!$E$3:$E$202,"Used")-SUMIFS('Chemical Usage Log'!$F$3:$F$202,'Chemical Usage Log'!$C$3:$C$202,A56,'Chemical Usage Log'!$E$3:$E$202,"Disposed")+SUMIFS('Chemical Usage Log'!$F$3:$F$202,'Chemical Usage Log'!$C$3:$C$202,A56,'Chemical Usage Log'!$E$3:$E$202,"Adjusted"))</f>
        <v/>
      </c>
      <c r="K56" s="19"/>
      <c r="L56" s="16"/>
      <c r="M56" s="16"/>
      <c r="N56" s="22" t="str">
        <f t="shared" ca="1" si="3"/>
        <v/>
      </c>
      <c r="O56" s="6" t="str">
        <f t="shared" si="4"/>
        <v/>
      </c>
      <c r="P56" s="6" t="str">
        <f t="shared" ca="1" si="5"/>
        <v/>
      </c>
      <c r="Q56" s="6"/>
      <c r="R56" s="6"/>
      <c r="S56" s="16"/>
      <c r="T56" s="11"/>
    </row>
    <row r="57" spans="1:20">
      <c r="A57" s="10"/>
      <c r="B57" s="6"/>
      <c r="C57" s="6"/>
      <c r="D57" s="6"/>
      <c r="E57" s="6"/>
      <c r="F57" s="6"/>
      <c r="G57" s="6"/>
      <c r="H57" s="6"/>
      <c r="I57" s="19"/>
      <c r="J57" s="19" t="str">
        <f>IF(A57="","",I57+SUMIFS('Chemical Usage Log'!$F$3:$F$202,'Chemical Usage Log'!$C$3:$C$202,A57,'Chemical Usage Log'!$E$3:$E$202,"Received")-SUMIFS('Chemical Usage Log'!$F$3:$F$202,'Chemical Usage Log'!$C$3:$C$202,A57,'Chemical Usage Log'!$E$3:$E$202,"Used")-SUMIFS('Chemical Usage Log'!$F$3:$F$202,'Chemical Usage Log'!$C$3:$C$202,A57,'Chemical Usage Log'!$E$3:$E$202,"Disposed")+SUMIFS('Chemical Usage Log'!$F$3:$F$202,'Chemical Usage Log'!$C$3:$C$202,A57,'Chemical Usage Log'!$E$3:$E$202,"Adjusted"))</f>
        <v/>
      </c>
      <c r="K57" s="19"/>
      <c r="L57" s="16"/>
      <c r="M57" s="16"/>
      <c r="N57" s="22" t="str">
        <f t="shared" ca="1" si="3"/>
        <v/>
      </c>
      <c r="O57" s="6" t="str">
        <f t="shared" si="4"/>
        <v/>
      </c>
      <c r="P57" s="6" t="str">
        <f t="shared" ca="1" si="5"/>
        <v/>
      </c>
      <c r="Q57" s="6"/>
      <c r="R57" s="6"/>
      <c r="S57" s="16"/>
      <c r="T57" s="11"/>
    </row>
    <row r="58" spans="1:20">
      <c r="A58" s="10"/>
      <c r="B58" s="6"/>
      <c r="C58" s="6"/>
      <c r="D58" s="6"/>
      <c r="E58" s="6"/>
      <c r="F58" s="6"/>
      <c r="G58" s="6"/>
      <c r="H58" s="6"/>
      <c r="I58" s="19"/>
      <c r="J58" s="19" t="str">
        <f>IF(A58="","",I58+SUMIFS('Chemical Usage Log'!$F$3:$F$202,'Chemical Usage Log'!$C$3:$C$202,A58,'Chemical Usage Log'!$E$3:$E$202,"Received")-SUMIFS('Chemical Usage Log'!$F$3:$F$202,'Chemical Usage Log'!$C$3:$C$202,A58,'Chemical Usage Log'!$E$3:$E$202,"Used")-SUMIFS('Chemical Usage Log'!$F$3:$F$202,'Chemical Usage Log'!$C$3:$C$202,A58,'Chemical Usage Log'!$E$3:$E$202,"Disposed")+SUMIFS('Chemical Usage Log'!$F$3:$F$202,'Chemical Usage Log'!$C$3:$C$202,A58,'Chemical Usage Log'!$E$3:$E$202,"Adjusted"))</f>
        <v/>
      </c>
      <c r="K58" s="19"/>
      <c r="L58" s="16"/>
      <c r="M58" s="16"/>
      <c r="N58" s="22" t="str">
        <f t="shared" ca="1" si="3"/>
        <v/>
      </c>
      <c r="O58" s="6" t="str">
        <f t="shared" si="4"/>
        <v/>
      </c>
      <c r="P58" s="6" t="str">
        <f t="shared" ca="1" si="5"/>
        <v/>
      </c>
      <c r="Q58" s="6"/>
      <c r="R58" s="6"/>
      <c r="S58" s="16"/>
      <c r="T58" s="11"/>
    </row>
    <row r="59" spans="1:20">
      <c r="A59" s="10"/>
      <c r="B59" s="6"/>
      <c r="C59" s="6"/>
      <c r="D59" s="6"/>
      <c r="E59" s="6"/>
      <c r="F59" s="6"/>
      <c r="G59" s="6"/>
      <c r="H59" s="6"/>
      <c r="I59" s="19"/>
      <c r="J59" s="19" t="str">
        <f>IF(A59="","",I59+SUMIFS('Chemical Usage Log'!$F$3:$F$202,'Chemical Usage Log'!$C$3:$C$202,A59,'Chemical Usage Log'!$E$3:$E$202,"Received")-SUMIFS('Chemical Usage Log'!$F$3:$F$202,'Chemical Usage Log'!$C$3:$C$202,A59,'Chemical Usage Log'!$E$3:$E$202,"Used")-SUMIFS('Chemical Usage Log'!$F$3:$F$202,'Chemical Usage Log'!$C$3:$C$202,A59,'Chemical Usage Log'!$E$3:$E$202,"Disposed")+SUMIFS('Chemical Usage Log'!$F$3:$F$202,'Chemical Usage Log'!$C$3:$C$202,A59,'Chemical Usage Log'!$E$3:$E$202,"Adjusted"))</f>
        <v/>
      </c>
      <c r="K59" s="19"/>
      <c r="L59" s="16"/>
      <c r="M59" s="16"/>
      <c r="N59" s="22" t="str">
        <f t="shared" ca="1" si="3"/>
        <v/>
      </c>
      <c r="O59" s="6" t="str">
        <f t="shared" si="4"/>
        <v/>
      </c>
      <c r="P59" s="6" t="str">
        <f t="shared" ca="1" si="5"/>
        <v/>
      </c>
      <c r="Q59" s="6"/>
      <c r="R59" s="6"/>
      <c r="S59" s="16"/>
      <c r="T59" s="11"/>
    </row>
    <row r="60" spans="1:20">
      <c r="A60" s="10"/>
      <c r="B60" s="6"/>
      <c r="C60" s="6"/>
      <c r="D60" s="6"/>
      <c r="E60" s="6"/>
      <c r="F60" s="6"/>
      <c r="G60" s="6"/>
      <c r="H60" s="6"/>
      <c r="I60" s="19"/>
      <c r="J60" s="19" t="str">
        <f>IF(A60="","",I60+SUMIFS('Chemical Usage Log'!$F$3:$F$202,'Chemical Usage Log'!$C$3:$C$202,A60,'Chemical Usage Log'!$E$3:$E$202,"Received")-SUMIFS('Chemical Usage Log'!$F$3:$F$202,'Chemical Usage Log'!$C$3:$C$202,A60,'Chemical Usage Log'!$E$3:$E$202,"Used")-SUMIFS('Chemical Usage Log'!$F$3:$F$202,'Chemical Usage Log'!$C$3:$C$202,A60,'Chemical Usage Log'!$E$3:$E$202,"Disposed")+SUMIFS('Chemical Usage Log'!$F$3:$F$202,'Chemical Usage Log'!$C$3:$C$202,A60,'Chemical Usage Log'!$E$3:$E$202,"Adjusted"))</f>
        <v/>
      </c>
      <c r="K60" s="19"/>
      <c r="L60" s="16"/>
      <c r="M60" s="16"/>
      <c r="N60" s="22" t="str">
        <f t="shared" ca="1" si="3"/>
        <v/>
      </c>
      <c r="O60" s="6" t="str">
        <f t="shared" si="4"/>
        <v/>
      </c>
      <c r="P60" s="6" t="str">
        <f t="shared" ca="1" si="5"/>
        <v/>
      </c>
      <c r="Q60" s="6"/>
      <c r="R60" s="6"/>
      <c r="S60" s="16"/>
      <c r="T60" s="11"/>
    </row>
    <row r="61" spans="1:20">
      <c r="A61" s="10"/>
      <c r="B61" s="6"/>
      <c r="C61" s="6"/>
      <c r="D61" s="6"/>
      <c r="E61" s="6"/>
      <c r="F61" s="6"/>
      <c r="G61" s="6"/>
      <c r="H61" s="6"/>
      <c r="I61" s="19"/>
      <c r="J61" s="19" t="str">
        <f>IF(A61="","",I61+SUMIFS('Chemical Usage Log'!$F$3:$F$202,'Chemical Usage Log'!$C$3:$C$202,A61,'Chemical Usage Log'!$E$3:$E$202,"Received")-SUMIFS('Chemical Usage Log'!$F$3:$F$202,'Chemical Usage Log'!$C$3:$C$202,A61,'Chemical Usage Log'!$E$3:$E$202,"Used")-SUMIFS('Chemical Usage Log'!$F$3:$F$202,'Chemical Usage Log'!$C$3:$C$202,A61,'Chemical Usage Log'!$E$3:$E$202,"Disposed")+SUMIFS('Chemical Usage Log'!$F$3:$F$202,'Chemical Usage Log'!$C$3:$C$202,A61,'Chemical Usage Log'!$E$3:$E$202,"Adjusted"))</f>
        <v/>
      </c>
      <c r="K61" s="19"/>
      <c r="L61" s="16"/>
      <c r="M61" s="16"/>
      <c r="N61" s="22" t="str">
        <f t="shared" ca="1" si="3"/>
        <v/>
      </c>
      <c r="O61" s="6" t="str">
        <f t="shared" si="4"/>
        <v/>
      </c>
      <c r="P61" s="6" t="str">
        <f t="shared" ca="1" si="5"/>
        <v/>
      </c>
      <c r="Q61" s="6"/>
      <c r="R61" s="6"/>
      <c r="S61" s="16"/>
      <c r="T61" s="11"/>
    </row>
    <row r="62" spans="1:20">
      <c r="A62" s="10"/>
      <c r="B62" s="6"/>
      <c r="C62" s="6"/>
      <c r="D62" s="6"/>
      <c r="E62" s="6"/>
      <c r="F62" s="6"/>
      <c r="G62" s="6"/>
      <c r="H62" s="6"/>
      <c r="I62" s="19"/>
      <c r="J62" s="19" t="str">
        <f>IF(A62="","",I62+SUMIFS('Chemical Usage Log'!$F$3:$F$202,'Chemical Usage Log'!$C$3:$C$202,A62,'Chemical Usage Log'!$E$3:$E$202,"Received")-SUMIFS('Chemical Usage Log'!$F$3:$F$202,'Chemical Usage Log'!$C$3:$C$202,A62,'Chemical Usage Log'!$E$3:$E$202,"Used")-SUMIFS('Chemical Usage Log'!$F$3:$F$202,'Chemical Usage Log'!$C$3:$C$202,A62,'Chemical Usage Log'!$E$3:$E$202,"Disposed")+SUMIFS('Chemical Usage Log'!$F$3:$F$202,'Chemical Usage Log'!$C$3:$C$202,A62,'Chemical Usage Log'!$E$3:$E$202,"Adjusted"))</f>
        <v/>
      </c>
      <c r="K62" s="19"/>
      <c r="L62" s="16"/>
      <c r="M62" s="16"/>
      <c r="N62" s="22" t="str">
        <f t="shared" ca="1" si="3"/>
        <v/>
      </c>
      <c r="O62" s="6" t="str">
        <f t="shared" si="4"/>
        <v/>
      </c>
      <c r="P62" s="6" t="str">
        <f t="shared" ca="1" si="5"/>
        <v/>
      </c>
      <c r="Q62" s="6"/>
      <c r="R62" s="6"/>
      <c r="S62" s="16"/>
      <c r="T62" s="11"/>
    </row>
    <row r="63" spans="1:20">
      <c r="A63" s="10"/>
      <c r="B63" s="6"/>
      <c r="C63" s="6"/>
      <c r="D63" s="6"/>
      <c r="E63" s="6"/>
      <c r="F63" s="6"/>
      <c r="G63" s="6"/>
      <c r="H63" s="6"/>
      <c r="I63" s="19"/>
      <c r="J63" s="19" t="str">
        <f>IF(A63="","",I63+SUMIFS('Chemical Usage Log'!$F$3:$F$202,'Chemical Usage Log'!$C$3:$C$202,A63,'Chemical Usage Log'!$E$3:$E$202,"Received")-SUMIFS('Chemical Usage Log'!$F$3:$F$202,'Chemical Usage Log'!$C$3:$C$202,A63,'Chemical Usage Log'!$E$3:$E$202,"Used")-SUMIFS('Chemical Usage Log'!$F$3:$F$202,'Chemical Usage Log'!$C$3:$C$202,A63,'Chemical Usage Log'!$E$3:$E$202,"Disposed")+SUMIFS('Chemical Usage Log'!$F$3:$F$202,'Chemical Usage Log'!$C$3:$C$202,A63,'Chemical Usage Log'!$E$3:$E$202,"Adjusted"))</f>
        <v/>
      </c>
      <c r="K63" s="19"/>
      <c r="L63" s="16"/>
      <c r="M63" s="16"/>
      <c r="N63" s="22" t="str">
        <f t="shared" ca="1" si="3"/>
        <v/>
      </c>
      <c r="O63" s="6" t="str">
        <f t="shared" si="4"/>
        <v/>
      </c>
      <c r="P63" s="6" t="str">
        <f t="shared" ca="1" si="5"/>
        <v/>
      </c>
      <c r="Q63" s="6"/>
      <c r="R63" s="6"/>
      <c r="S63" s="16"/>
      <c r="T63" s="11"/>
    </row>
    <row r="64" spans="1:20">
      <c r="A64" s="10"/>
      <c r="B64" s="6"/>
      <c r="C64" s="6"/>
      <c r="D64" s="6"/>
      <c r="E64" s="6"/>
      <c r="F64" s="6"/>
      <c r="G64" s="6"/>
      <c r="H64" s="6"/>
      <c r="I64" s="19"/>
      <c r="J64" s="19" t="str">
        <f>IF(A64="","",I64+SUMIFS('Chemical Usage Log'!$F$3:$F$202,'Chemical Usage Log'!$C$3:$C$202,A64,'Chemical Usage Log'!$E$3:$E$202,"Received")-SUMIFS('Chemical Usage Log'!$F$3:$F$202,'Chemical Usage Log'!$C$3:$C$202,A64,'Chemical Usage Log'!$E$3:$E$202,"Used")-SUMIFS('Chemical Usage Log'!$F$3:$F$202,'Chemical Usage Log'!$C$3:$C$202,A64,'Chemical Usage Log'!$E$3:$E$202,"Disposed")+SUMIFS('Chemical Usage Log'!$F$3:$F$202,'Chemical Usage Log'!$C$3:$C$202,A64,'Chemical Usage Log'!$E$3:$E$202,"Adjusted"))</f>
        <v/>
      </c>
      <c r="K64" s="19"/>
      <c r="L64" s="16"/>
      <c r="M64" s="16"/>
      <c r="N64" s="22" t="str">
        <f t="shared" ca="1" si="3"/>
        <v/>
      </c>
      <c r="O64" s="6" t="str">
        <f t="shared" si="4"/>
        <v/>
      </c>
      <c r="P64" s="6" t="str">
        <f t="shared" ca="1" si="5"/>
        <v/>
      </c>
      <c r="Q64" s="6"/>
      <c r="R64" s="6"/>
      <c r="S64" s="16"/>
      <c r="T64" s="11"/>
    </row>
    <row r="65" spans="1:20">
      <c r="A65" s="10"/>
      <c r="B65" s="6"/>
      <c r="C65" s="6"/>
      <c r="D65" s="6"/>
      <c r="E65" s="6"/>
      <c r="F65" s="6"/>
      <c r="G65" s="6"/>
      <c r="H65" s="6"/>
      <c r="I65" s="19"/>
      <c r="J65" s="19" t="str">
        <f>IF(A65="","",I65+SUMIFS('Chemical Usage Log'!$F$3:$F$202,'Chemical Usage Log'!$C$3:$C$202,A65,'Chemical Usage Log'!$E$3:$E$202,"Received")-SUMIFS('Chemical Usage Log'!$F$3:$F$202,'Chemical Usage Log'!$C$3:$C$202,A65,'Chemical Usage Log'!$E$3:$E$202,"Used")-SUMIFS('Chemical Usage Log'!$F$3:$F$202,'Chemical Usage Log'!$C$3:$C$202,A65,'Chemical Usage Log'!$E$3:$E$202,"Disposed")+SUMIFS('Chemical Usage Log'!$F$3:$F$202,'Chemical Usage Log'!$C$3:$C$202,A65,'Chemical Usage Log'!$E$3:$E$202,"Adjusted"))</f>
        <v/>
      </c>
      <c r="K65" s="19"/>
      <c r="L65" s="16"/>
      <c r="M65" s="16"/>
      <c r="N65" s="22" t="str">
        <f t="shared" ca="1" si="3"/>
        <v/>
      </c>
      <c r="O65" s="6" t="str">
        <f t="shared" si="4"/>
        <v/>
      </c>
      <c r="P65" s="6" t="str">
        <f t="shared" ca="1" si="5"/>
        <v/>
      </c>
      <c r="Q65" s="6"/>
      <c r="R65" s="6"/>
      <c r="S65" s="16"/>
      <c r="T65" s="11"/>
    </row>
    <row r="66" spans="1:20">
      <c r="A66" s="10"/>
      <c r="B66" s="6"/>
      <c r="C66" s="6"/>
      <c r="D66" s="6"/>
      <c r="E66" s="6"/>
      <c r="F66" s="6"/>
      <c r="G66" s="6"/>
      <c r="H66" s="6"/>
      <c r="I66" s="19"/>
      <c r="J66" s="19" t="str">
        <f>IF(A66="","",I66+SUMIFS('Chemical Usage Log'!$F$3:$F$202,'Chemical Usage Log'!$C$3:$C$202,A66,'Chemical Usage Log'!$E$3:$E$202,"Received")-SUMIFS('Chemical Usage Log'!$F$3:$F$202,'Chemical Usage Log'!$C$3:$C$202,A66,'Chemical Usage Log'!$E$3:$E$202,"Used")-SUMIFS('Chemical Usage Log'!$F$3:$F$202,'Chemical Usage Log'!$C$3:$C$202,A66,'Chemical Usage Log'!$E$3:$E$202,"Disposed")+SUMIFS('Chemical Usage Log'!$F$3:$F$202,'Chemical Usage Log'!$C$3:$C$202,A66,'Chemical Usage Log'!$E$3:$E$202,"Adjusted"))</f>
        <v/>
      </c>
      <c r="K66" s="19"/>
      <c r="L66" s="16"/>
      <c r="M66" s="16"/>
      <c r="N66" s="22" t="str">
        <f t="shared" ca="1" si="3"/>
        <v/>
      </c>
      <c r="O66" s="6" t="str">
        <f t="shared" si="4"/>
        <v/>
      </c>
      <c r="P66" s="6" t="str">
        <f t="shared" ca="1" si="5"/>
        <v/>
      </c>
      <c r="Q66" s="6"/>
      <c r="R66" s="6"/>
      <c r="S66" s="16"/>
      <c r="T66" s="11"/>
    </row>
    <row r="67" spans="1:20">
      <c r="A67" s="10"/>
      <c r="B67" s="6"/>
      <c r="C67" s="6"/>
      <c r="D67" s="6"/>
      <c r="E67" s="6"/>
      <c r="F67" s="6"/>
      <c r="G67" s="6"/>
      <c r="H67" s="6"/>
      <c r="I67" s="19"/>
      <c r="J67" s="19" t="str">
        <f>IF(A67="","",I67+SUMIFS('Chemical Usage Log'!$F$3:$F$202,'Chemical Usage Log'!$C$3:$C$202,A67,'Chemical Usage Log'!$E$3:$E$202,"Received")-SUMIFS('Chemical Usage Log'!$F$3:$F$202,'Chemical Usage Log'!$C$3:$C$202,A67,'Chemical Usage Log'!$E$3:$E$202,"Used")-SUMIFS('Chemical Usage Log'!$F$3:$F$202,'Chemical Usage Log'!$C$3:$C$202,A67,'Chemical Usage Log'!$E$3:$E$202,"Disposed")+SUMIFS('Chemical Usage Log'!$F$3:$F$202,'Chemical Usage Log'!$C$3:$C$202,A67,'Chemical Usage Log'!$E$3:$E$202,"Adjusted"))</f>
        <v/>
      </c>
      <c r="K67" s="19"/>
      <c r="L67" s="16"/>
      <c r="M67" s="16"/>
      <c r="N67" s="22" t="str">
        <f t="shared" ref="N67:N98" ca="1" si="6">IF(M67="","",M67-TODAY())</f>
        <v/>
      </c>
      <c r="O67" s="6" t="str">
        <f t="shared" ref="O67:O98" si="7">IF(J67="","",IF(J67&lt;=0,"OUT OF STOCK",IF(J67&lt;=K67,"LOW STOCK","OK")))</f>
        <v/>
      </c>
      <c r="P67" s="6" t="str">
        <f t="shared" ref="P67:P98" ca="1" si="8">IF(A67="","",IF(M67="","NO EXPIRY DATE",IF(M67&lt;TODAY(),"EXPIRED",IF(M67-TODAY()&lt;=30,"EXPIRING &lt;=30 DAYS",IF(M67-TODAY()&lt;=90,"EXPIRING &lt;=90 DAYS","OK")))))</f>
        <v/>
      </c>
      <c r="Q67" s="6"/>
      <c r="R67" s="6"/>
      <c r="S67" s="16"/>
      <c r="T67" s="11"/>
    </row>
    <row r="68" spans="1:20">
      <c r="A68" s="10"/>
      <c r="B68" s="6"/>
      <c r="C68" s="6"/>
      <c r="D68" s="6"/>
      <c r="E68" s="6"/>
      <c r="F68" s="6"/>
      <c r="G68" s="6"/>
      <c r="H68" s="6"/>
      <c r="I68" s="19"/>
      <c r="J68" s="19" t="str">
        <f>IF(A68="","",I68+SUMIFS('Chemical Usage Log'!$F$3:$F$202,'Chemical Usage Log'!$C$3:$C$202,A68,'Chemical Usage Log'!$E$3:$E$202,"Received")-SUMIFS('Chemical Usage Log'!$F$3:$F$202,'Chemical Usage Log'!$C$3:$C$202,A68,'Chemical Usage Log'!$E$3:$E$202,"Used")-SUMIFS('Chemical Usage Log'!$F$3:$F$202,'Chemical Usage Log'!$C$3:$C$202,A68,'Chemical Usage Log'!$E$3:$E$202,"Disposed")+SUMIFS('Chemical Usage Log'!$F$3:$F$202,'Chemical Usage Log'!$C$3:$C$202,A68,'Chemical Usage Log'!$E$3:$E$202,"Adjusted"))</f>
        <v/>
      </c>
      <c r="K68" s="19"/>
      <c r="L68" s="16"/>
      <c r="M68" s="16"/>
      <c r="N68" s="22" t="str">
        <f t="shared" ca="1" si="6"/>
        <v/>
      </c>
      <c r="O68" s="6" t="str">
        <f t="shared" si="7"/>
        <v/>
      </c>
      <c r="P68" s="6" t="str">
        <f t="shared" ca="1" si="8"/>
        <v/>
      </c>
      <c r="Q68" s="6"/>
      <c r="R68" s="6"/>
      <c r="S68" s="16"/>
      <c r="T68" s="11"/>
    </row>
    <row r="69" spans="1:20">
      <c r="A69" s="10"/>
      <c r="B69" s="6"/>
      <c r="C69" s="6"/>
      <c r="D69" s="6"/>
      <c r="E69" s="6"/>
      <c r="F69" s="6"/>
      <c r="G69" s="6"/>
      <c r="H69" s="6"/>
      <c r="I69" s="19"/>
      <c r="J69" s="19" t="str">
        <f>IF(A69="","",I69+SUMIFS('Chemical Usage Log'!$F$3:$F$202,'Chemical Usage Log'!$C$3:$C$202,A69,'Chemical Usage Log'!$E$3:$E$202,"Received")-SUMIFS('Chemical Usage Log'!$F$3:$F$202,'Chemical Usage Log'!$C$3:$C$202,A69,'Chemical Usage Log'!$E$3:$E$202,"Used")-SUMIFS('Chemical Usage Log'!$F$3:$F$202,'Chemical Usage Log'!$C$3:$C$202,A69,'Chemical Usage Log'!$E$3:$E$202,"Disposed")+SUMIFS('Chemical Usage Log'!$F$3:$F$202,'Chemical Usage Log'!$C$3:$C$202,A69,'Chemical Usage Log'!$E$3:$E$202,"Adjusted"))</f>
        <v/>
      </c>
      <c r="K69" s="19"/>
      <c r="L69" s="16"/>
      <c r="M69" s="16"/>
      <c r="N69" s="22" t="str">
        <f t="shared" ca="1" si="6"/>
        <v/>
      </c>
      <c r="O69" s="6" t="str">
        <f t="shared" si="7"/>
        <v/>
      </c>
      <c r="P69" s="6" t="str">
        <f t="shared" ca="1" si="8"/>
        <v/>
      </c>
      <c r="Q69" s="6"/>
      <c r="R69" s="6"/>
      <c r="S69" s="16"/>
      <c r="T69" s="11"/>
    </row>
    <row r="70" spans="1:20">
      <c r="A70" s="10"/>
      <c r="B70" s="6"/>
      <c r="C70" s="6"/>
      <c r="D70" s="6"/>
      <c r="E70" s="6"/>
      <c r="F70" s="6"/>
      <c r="G70" s="6"/>
      <c r="H70" s="6"/>
      <c r="I70" s="19"/>
      <c r="J70" s="19" t="str">
        <f>IF(A70="","",I70+SUMIFS('Chemical Usage Log'!$F$3:$F$202,'Chemical Usage Log'!$C$3:$C$202,A70,'Chemical Usage Log'!$E$3:$E$202,"Received")-SUMIFS('Chemical Usage Log'!$F$3:$F$202,'Chemical Usage Log'!$C$3:$C$202,A70,'Chemical Usage Log'!$E$3:$E$202,"Used")-SUMIFS('Chemical Usage Log'!$F$3:$F$202,'Chemical Usage Log'!$C$3:$C$202,A70,'Chemical Usage Log'!$E$3:$E$202,"Disposed")+SUMIFS('Chemical Usage Log'!$F$3:$F$202,'Chemical Usage Log'!$C$3:$C$202,A70,'Chemical Usage Log'!$E$3:$E$202,"Adjusted"))</f>
        <v/>
      </c>
      <c r="K70" s="19"/>
      <c r="L70" s="16"/>
      <c r="M70" s="16"/>
      <c r="N70" s="22" t="str">
        <f t="shared" ca="1" si="6"/>
        <v/>
      </c>
      <c r="O70" s="6" t="str">
        <f t="shared" si="7"/>
        <v/>
      </c>
      <c r="P70" s="6" t="str">
        <f t="shared" ca="1" si="8"/>
        <v/>
      </c>
      <c r="Q70" s="6"/>
      <c r="R70" s="6"/>
      <c r="S70" s="16"/>
      <c r="T70" s="11"/>
    </row>
    <row r="71" spans="1:20">
      <c r="A71" s="10"/>
      <c r="B71" s="6"/>
      <c r="C71" s="6"/>
      <c r="D71" s="6"/>
      <c r="E71" s="6"/>
      <c r="F71" s="6"/>
      <c r="G71" s="6"/>
      <c r="H71" s="6"/>
      <c r="I71" s="19"/>
      <c r="J71" s="19" t="str">
        <f>IF(A71="","",I71+SUMIFS('Chemical Usage Log'!$F$3:$F$202,'Chemical Usage Log'!$C$3:$C$202,A71,'Chemical Usage Log'!$E$3:$E$202,"Received")-SUMIFS('Chemical Usage Log'!$F$3:$F$202,'Chemical Usage Log'!$C$3:$C$202,A71,'Chemical Usage Log'!$E$3:$E$202,"Used")-SUMIFS('Chemical Usage Log'!$F$3:$F$202,'Chemical Usage Log'!$C$3:$C$202,A71,'Chemical Usage Log'!$E$3:$E$202,"Disposed")+SUMIFS('Chemical Usage Log'!$F$3:$F$202,'Chemical Usage Log'!$C$3:$C$202,A71,'Chemical Usage Log'!$E$3:$E$202,"Adjusted"))</f>
        <v/>
      </c>
      <c r="K71" s="19"/>
      <c r="L71" s="16"/>
      <c r="M71" s="16"/>
      <c r="N71" s="22" t="str">
        <f t="shared" ca="1" si="6"/>
        <v/>
      </c>
      <c r="O71" s="6" t="str">
        <f t="shared" si="7"/>
        <v/>
      </c>
      <c r="P71" s="6" t="str">
        <f t="shared" ca="1" si="8"/>
        <v/>
      </c>
      <c r="Q71" s="6"/>
      <c r="R71" s="6"/>
      <c r="S71" s="16"/>
      <c r="T71" s="11"/>
    </row>
    <row r="72" spans="1:20">
      <c r="A72" s="10"/>
      <c r="B72" s="6"/>
      <c r="C72" s="6"/>
      <c r="D72" s="6"/>
      <c r="E72" s="6"/>
      <c r="F72" s="6"/>
      <c r="G72" s="6"/>
      <c r="H72" s="6"/>
      <c r="I72" s="19"/>
      <c r="J72" s="19" t="str">
        <f>IF(A72="","",I72+SUMIFS('Chemical Usage Log'!$F$3:$F$202,'Chemical Usage Log'!$C$3:$C$202,A72,'Chemical Usage Log'!$E$3:$E$202,"Received")-SUMIFS('Chemical Usage Log'!$F$3:$F$202,'Chemical Usage Log'!$C$3:$C$202,A72,'Chemical Usage Log'!$E$3:$E$202,"Used")-SUMIFS('Chemical Usage Log'!$F$3:$F$202,'Chemical Usage Log'!$C$3:$C$202,A72,'Chemical Usage Log'!$E$3:$E$202,"Disposed")+SUMIFS('Chemical Usage Log'!$F$3:$F$202,'Chemical Usage Log'!$C$3:$C$202,A72,'Chemical Usage Log'!$E$3:$E$202,"Adjusted"))</f>
        <v/>
      </c>
      <c r="K72" s="19"/>
      <c r="L72" s="16"/>
      <c r="M72" s="16"/>
      <c r="N72" s="22" t="str">
        <f t="shared" ca="1" si="6"/>
        <v/>
      </c>
      <c r="O72" s="6" t="str">
        <f t="shared" si="7"/>
        <v/>
      </c>
      <c r="P72" s="6" t="str">
        <f t="shared" ca="1" si="8"/>
        <v/>
      </c>
      <c r="Q72" s="6"/>
      <c r="R72" s="6"/>
      <c r="S72" s="16"/>
      <c r="T72" s="11"/>
    </row>
    <row r="73" spans="1:20">
      <c r="A73" s="10"/>
      <c r="B73" s="6"/>
      <c r="C73" s="6"/>
      <c r="D73" s="6"/>
      <c r="E73" s="6"/>
      <c r="F73" s="6"/>
      <c r="G73" s="6"/>
      <c r="H73" s="6"/>
      <c r="I73" s="19"/>
      <c r="J73" s="19" t="str">
        <f>IF(A73="","",I73+SUMIFS('Chemical Usage Log'!$F$3:$F$202,'Chemical Usage Log'!$C$3:$C$202,A73,'Chemical Usage Log'!$E$3:$E$202,"Received")-SUMIFS('Chemical Usage Log'!$F$3:$F$202,'Chemical Usage Log'!$C$3:$C$202,A73,'Chemical Usage Log'!$E$3:$E$202,"Used")-SUMIFS('Chemical Usage Log'!$F$3:$F$202,'Chemical Usage Log'!$C$3:$C$202,A73,'Chemical Usage Log'!$E$3:$E$202,"Disposed")+SUMIFS('Chemical Usage Log'!$F$3:$F$202,'Chemical Usage Log'!$C$3:$C$202,A73,'Chemical Usage Log'!$E$3:$E$202,"Adjusted"))</f>
        <v/>
      </c>
      <c r="K73" s="19"/>
      <c r="L73" s="16"/>
      <c r="M73" s="16"/>
      <c r="N73" s="22" t="str">
        <f t="shared" ca="1" si="6"/>
        <v/>
      </c>
      <c r="O73" s="6" t="str">
        <f t="shared" si="7"/>
        <v/>
      </c>
      <c r="P73" s="6" t="str">
        <f t="shared" ca="1" si="8"/>
        <v/>
      </c>
      <c r="Q73" s="6"/>
      <c r="R73" s="6"/>
      <c r="S73" s="16"/>
      <c r="T73" s="11"/>
    </row>
    <row r="74" spans="1:20">
      <c r="A74" s="10"/>
      <c r="B74" s="6"/>
      <c r="C74" s="6"/>
      <c r="D74" s="6"/>
      <c r="E74" s="6"/>
      <c r="F74" s="6"/>
      <c r="G74" s="6"/>
      <c r="H74" s="6"/>
      <c r="I74" s="19"/>
      <c r="J74" s="19" t="str">
        <f>IF(A74="","",I74+SUMIFS('Chemical Usage Log'!$F$3:$F$202,'Chemical Usage Log'!$C$3:$C$202,A74,'Chemical Usage Log'!$E$3:$E$202,"Received")-SUMIFS('Chemical Usage Log'!$F$3:$F$202,'Chemical Usage Log'!$C$3:$C$202,A74,'Chemical Usage Log'!$E$3:$E$202,"Used")-SUMIFS('Chemical Usage Log'!$F$3:$F$202,'Chemical Usage Log'!$C$3:$C$202,A74,'Chemical Usage Log'!$E$3:$E$202,"Disposed")+SUMIFS('Chemical Usage Log'!$F$3:$F$202,'Chemical Usage Log'!$C$3:$C$202,A74,'Chemical Usage Log'!$E$3:$E$202,"Adjusted"))</f>
        <v/>
      </c>
      <c r="K74" s="19"/>
      <c r="L74" s="16"/>
      <c r="M74" s="16"/>
      <c r="N74" s="22" t="str">
        <f t="shared" ca="1" si="6"/>
        <v/>
      </c>
      <c r="O74" s="6" t="str">
        <f t="shared" si="7"/>
        <v/>
      </c>
      <c r="P74" s="6" t="str">
        <f t="shared" ca="1" si="8"/>
        <v/>
      </c>
      <c r="Q74" s="6"/>
      <c r="R74" s="6"/>
      <c r="S74" s="16"/>
      <c r="T74" s="11"/>
    </row>
    <row r="75" spans="1:20">
      <c r="A75" s="10"/>
      <c r="B75" s="6"/>
      <c r="C75" s="6"/>
      <c r="D75" s="6"/>
      <c r="E75" s="6"/>
      <c r="F75" s="6"/>
      <c r="G75" s="6"/>
      <c r="H75" s="6"/>
      <c r="I75" s="19"/>
      <c r="J75" s="19" t="str">
        <f>IF(A75="","",I75+SUMIFS('Chemical Usage Log'!$F$3:$F$202,'Chemical Usage Log'!$C$3:$C$202,A75,'Chemical Usage Log'!$E$3:$E$202,"Received")-SUMIFS('Chemical Usage Log'!$F$3:$F$202,'Chemical Usage Log'!$C$3:$C$202,A75,'Chemical Usage Log'!$E$3:$E$202,"Used")-SUMIFS('Chemical Usage Log'!$F$3:$F$202,'Chemical Usage Log'!$C$3:$C$202,A75,'Chemical Usage Log'!$E$3:$E$202,"Disposed")+SUMIFS('Chemical Usage Log'!$F$3:$F$202,'Chemical Usage Log'!$C$3:$C$202,A75,'Chemical Usage Log'!$E$3:$E$202,"Adjusted"))</f>
        <v/>
      </c>
      <c r="K75" s="19"/>
      <c r="L75" s="16"/>
      <c r="M75" s="16"/>
      <c r="N75" s="22" t="str">
        <f t="shared" ca="1" si="6"/>
        <v/>
      </c>
      <c r="O75" s="6" t="str">
        <f t="shared" si="7"/>
        <v/>
      </c>
      <c r="P75" s="6" t="str">
        <f t="shared" ca="1" si="8"/>
        <v/>
      </c>
      <c r="Q75" s="6"/>
      <c r="R75" s="6"/>
      <c r="S75" s="16"/>
      <c r="T75" s="11"/>
    </row>
    <row r="76" spans="1:20">
      <c r="A76" s="10"/>
      <c r="B76" s="6"/>
      <c r="C76" s="6"/>
      <c r="D76" s="6"/>
      <c r="E76" s="6"/>
      <c r="F76" s="6"/>
      <c r="G76" s="6"/>
      <c r="H76" s="6"/>
      <c r="I76" s="19"/>
      <c r="J76" s="19" t="str">
        <f>IF(A76="","",I76+SUMIFS('Chemical Usage Log'!$F$3:$F$202,'Chemical Usage Log'!$C$3:$C$202,A76,'Chemical Usage Log'!$E$3:$E$202,"Received")-SUMIFS('Chemical Usage Log'!$F$3:$F$202,'Chemical Usage Log'!$C$3:$C$202,A76,'Chemical Usage Log'!$E$3:$E$202,"Used")-SUMIFS('Chemical Usage Log'!$F$3:$F$202,'Chemical Usage Log'!$C$3:$C$202,A76,'Chemical Usage Log'!$E$3:$E$202,"Disposed")+SUMIFS('Chemical Usage Log'!$F$3:$F$202,'Chemical Usage Log'!$C$3:$C$202,A76,'Chemical Usage Log'!$E$3:$E$202,"Adjusted"))</f>
        <v/>
      </c>
      <c r="K76" s="19"/>
      <c r="L76" s="16"/>
      <c r="M76" s="16"/>
      <c r="N76" s="22" t="str">
        <f t="shared" ca="1" si="6"/>
        <v/>
      </c>
      <c r="O76" s="6" t="str">
        <f t="shared" si="7"/>
        <v/>
      </c>
      <c r="P76" s="6" t="str">
        <f t="shared" ca="1" si="8"/>
        <v/>
      </c>
      <c r="Q76" s="6"/>
      <c r="R76" s="6"/>
      <c r="S76" s="16"/>
      <c r="T76" s="11"/>
    </row>
    <row r="77" spans="1:20">
      <c r="A77" s="10"/>
      <c r="B77" s="6"/>
      <c r="C77" s="6"/>
      <c r="D77" s="6"/>
      <c r="E77" s="6"/>
      <c r="F77" s="6"/>
      <c r="G77" s="6"/>
      <c r="H77" s="6"/>
      <c r="I77" s="19"/>
      <c r="J77" s="19" t="str">
        <f>IF(A77="","",I77+SUMIFS('Chemical Usage Log'!$F$3:$F$202,'Chemical Usage Log'!$C$3:$C$202,A77,'Chemical Usage Log'!$E$3:$E$202,"Received")-SUMIFS('Chemical Usage Log'!$F$3:$F$202,'Chemical Usage Log'!$C$3:$C$202,A77,'Chemical Usage Log'!$E$3:$E$202,"Used")-SUMIFS('Chemical Usage Log'!$F$3:$F$202,'Chemical Usage Log'!$C$3:$C$202,A77,'Chemical Usage Log'!$E$3:$E$202,"Disposed")+SUMIFS('Chemical Usage Log'!$F$3:$F$202,'Chemical Usage Log'!$C$3:$C$202,A77,'Chemical Usage Log'!$E$3:$E$202,"Adjusted"))</f>
        <v/>
      </c>
      <c r="K77" s="19"/>
      <c r="L77" s="16"/>
      <c r="M77" s="16"/>
      <c r="N77" s="22" t="str">
        <f t="shared" ca="1" si="6"/>
        <v/>
      </c>
      <c r="O77" s="6" t="str">
        <f t="shared" si="7"/>
        <v/>
      </c>
      <c r="P77" s="6" t="str">
        <f t="shared" ca="1" si="8"/>
        <v/>
      </c>
      <c r="Q77" s="6"/>
      <c r="R77" s="6"/>
      <c r="S77" s="16"/>
      <c r="T77" s="11"/>
    </row>
    <row r="78" spans="1:20">
      <c r="A78" s="10"/>
      <c r="B78" s="6"/>
      <c r="C78" s="6"/>
      <c r="D78" s="6"/>
      <c r="E78" s="6"/>
      <c r="F78" s="6"/>
      <c r="G78" s="6"/>
      <c r="H78" s="6"/>
      <c r="I78" s="19"/>
      <c r="J78" s="19" t="str">
        <f>IF(A78="","",I78+SUMIFS('Chemical Usage Log'!$F$3:$F$202,'Chemical Usage Log'!$C$3:$C$202,A78,'Chemical Usage Log'!$E$3:$E$202,"Received")-SUMIFS('Chemical Usage Log'!$F$3:$F$202,'Chemical Usage Log'!$C$3:$C$202,A78,'Chemical Usage Log'!$E$3:$E$202,"Used")-SUMIFS('Chemical Usage Log'!$F$3:$F$202,'Chemical Usage Log'!$C$3:$C$202,A78,'Chemical Usage Log'!$E$3:$E$202,"Disposed")+SUMIFS('Chemical Usage Log'!$F$3:$F$202,'Chemical Usage Log'!$C$3:$C$202,A78,'Chemical Usage Log'!$E$3:$E$202,"Adjusted"))</f>
        <v/>
      </c>
      <c r="K78" s="19"/>
      <c r="L78" s="16"/>
      <c r="M78" s="16"/>
      <c r="N78" s="22" t="str">
        <f t="shared" ca="1" si="6"/>
        <v/>
      </c>
      <c r="O78" s="6" t="str">
        <f t="shared" si="7"/>
        <v/>
      </c>
      <c r="P78" s="6" t="str">
        <f t="shared" ca="1" si="8"/>
        <v/>
      </c>
      <c r="Q78" s="6"/>
      <c r="R78" s="6"/>
      <c r="S78" s="16"/>
      <c r="T78" s="11"/>
    </row>
    <row r="79" spans="1:20">
      <c r="A79" s="10"/>
      <c r="B79" s="6"/>
      <c r="C79" s="6"/>
      <c r="D79" s="6"/>
      <c r="E79" s="6"/>
      <c r="F79" s="6"/>
      <c r="G79" s="6"/>
      <c r="H79" s="6"/>
      <c r="I79" s="19"/>
      <c r="J79" s="19" t="str">
        <f>IF(A79="","",I79+SUMIFS('Chemical Usage Log'!$F$3:$F$202,'Chemical Usage Log'!$C$3:$C$202,A79,'Chemical Usage Log'!$E$3:$E$202,"Received")-SUMIFS('Chemical Usage Log'!$F$3:$F$202,'Chemical Usage Log'!$C$3:$C$202,A79,'Chemical Usage Log'!$E$3:$E$202,"Used")-SUMIFS('Chemical Usage Log'!$F$3:$F$202,'Chemical Usage Log'!$C$3:$C$202,A79,'Chemical Usage Log'!$E$3:$E$202,"Disposed")+SUMIFS('Chemical Usage Log'!$F$3:$F$202,'Chemical Usage Log'!$C$3:$C$202,A79,'Chemical Usage Log'!$E$3:$E$202,"Adjusted"))</f>
        <v/>
      </c>
      <c r="K79" s="19"/>
      <c r="L79" s="16"/>
      <c r="M79" s="16"/>
      <c r="N79" s="22" t="str">
        <f t="shared" ca="1" si="6"/>
        <v/>
      </c>
      <c r="O79" s="6" t="str">
        <f t="shared" si="7"/>
        <v/>
      </c>
      <c r="P79" s="6" t="str">
        <f t="shared" ca="1" si="8"/>
        <v/>
      </c>
      <c r="Q79" s="6"/>
      <c r="R79" s="6"/>
      <c r="S79" s="16"/>
      <c r="T79" s="11"/>
    </row>
    <row r="80" spans="1:20">
      <c r="A80" s="10"/>
      <c r="B80" s="6"/>
      <c r="C80" s="6"/>
      <c r="D80" s="6"/>
      <c r="E80" s="6"/>
      <c r="F80" s="6"/>
      <c r="G80" s="6"/>
      <c r="H80" s="6"/>
      <c r="I80" s="19"/>
      <c r="J80" s="19" t="str">
        <f>IF(A80="","",I80+SUMIFS('Chemical Usage Log'!$F$3:$F$202,'Chemical Usage Log'!$C$3:$C$202,A80,'Chemical Usage Log'!$E$3:$E$202,"Received")-SUMIFS('Chemical Usage Log'!$F$3:$F$202,'Chemical Usage Log'!$C$3:$C$202,A80,'Chemical Usage Log'!$E$3:$E$202,"Used")-SUMIFS('Chemical Usage Log'!$F$3:$F$202,'Chemical Usage Log'!$C$3:$C$202,A80,'Chemical Usage Log'!$E$3:$E$202,"Disposed")+SUMIFS('Chemical Usage Log'!$F$3:$F$202,'Chemical Usage Log'!$C$3:$C$202,A80,'Chemical Usage Log'!$E$3:$E$202,"Adjusted"))</f>
        <v/>
      </c>
      <c r="K80" s="19"/>
      <c r="L80" s="16"/>
      <c r="M80" s="16"/>
      <c r="N80" s="22" t="str">
        <f t="shared" ca="1" si="6"/>
        <v/>
      </c>
      <c r="O80" s="6" t="str">
        <f t="shared" si="7"/>
        <v/>
      </c>
      <c r="P80" s="6" t="str">
        <f t="shared" ca="1" si="8"/>
        <v/>
      </c>
      <c r="Q80" s="6"/>
      <c r="R80" s="6"/>
      <c r="S80" s="16"/>
      <c r="T80" s="11"/>
    </row>
    <row r="81" spans="1:20">
      <c r="A81" s="10"/>
      <c r="B81" s="6"/>
      <c r="C81" s="6"/>
      <c r="D81" s="6"/>
      <c r="E81" s="6"/>
      <c r="F81" s="6"/>
      <c r="G81" s="6"/>
      <c r="H81" s="6"/>
      <c r="I81" s="19"/>
      <c r="J81" s="19" t="str">
        <f>IF(A81="","",I81+SUMIFS('Chemical Usage Log'!$F$3:$F$202,'Chemical Usage Log'!$C$3:$C$202,A81,'Chemical Usage Log'!$E$3:$E$202,"Received")-SUMIFS('Chemical Usage Log'!$F$3:$F$202,'Chemical Usage Log'!$C$3:$C$202,A81,'Chemical Usage Log'!$E$3:$E$202,"Used")-SUMIFS('Chemical Usage Log'!$F$3:$F$202,'Chemical Usage Log'!$C$3:$C$202,A81,'Chemical Usage Log'!$E$3:$E$202,"Disposed")+SUMIFS('Chemical Usage Log'!$F$3:$F$202,'Chemical Usage Log'!$C$3:$C$202,A81,'Chemical Usage Log'!$E$3:$E$202,"Adjusted"))</f>
        <v/>
      </c>
      <c r="K81" s="19"/>
      <c r="L81" s="16"/>
      <c r="M81" s="16"/>
      <c r="N81" s="22" t="str">
        <f t="shared" ca="1" si="6"/>
        <v/>
      </c>
      <c r="O81" s="6" t="str">
        <f t="shared" si="7"/>
        <v/>
      </c>
      <c r="P81" s="6" t="str">
        <f t="shared" ca="1" si="8"/>
        <v/>
      </c>
      <c r="Q81" s="6"/>
      <c r="R81" s="6"/>
      <c r="S81" s="16"/>
      <c r="T81" s="11"/>
    </row>
    <row r="82" spans="1:20">
      <c r="A82" s="10"/>
      <c r="B82" s="6"/>
      <c r="C82" s="6"/>
      <c r="D82" s="6"/>
      <c r="E82" s="6"/>
      <c r="F82" s="6"/>
      <c r="G82" s="6"/>
      <c r="H82" s="6"/>
      <c r="I82" s="19"/>
      <c r="J82" s="19" t="str">
        <f>IF(A82="","",I82+SUMIFS('Chemical Usage Log'!$F$3:$F$202,'Chemical Usage Log'!$C$3:$C$202,A82,'Chemical Usage Log'!$E$3:$E$202,"Received")-SUMIFS('Chemical Usage Log'!$F$3:$F$202,'Chemical Usage Log'!$C$3:$C$202,A82,'Chemical Usage Log'!$E$3:$E$202,"Used")-SUMIFS('Chemical Usage Log'!$F$3:$F$202,'Chemical Usage Log'!$C$3:$C$202,A82,'Chemical Usage Log'!$E$3:$E$202,"Disposed")+SUMIFS('Chemical Usage Log'!$F$3:$F$202,'Chemical Usage Log'!$C$3:$C$202,A82,'Chemical Usage Log'!$E$3:$E$202,"Adjusted"))</f>
        <v/>
      </c>
      <c r="K82" s="19"/>
      <c r="L82" s="16"/>
      <c r="M82" s="16"/>
      <c r="N82" s="22" t="str">
        <f t="shared" ca="1" si="6"/>
        <v/>
      </c>
      <c r="O82" s="6" t="str">
        <f t="shared" si="7"/>
        <v/>
      </c>
      <c r="P82" s="6" t="str">
        <f t="shared" ca="1" si="8"/>
        <v/>
      </c>
      <c r="Q82" s="6"/>
      <c r="R82" s="6"/>
      <c r="S82" s="16"/>
      <c r="T82" s="11"/>
    </row>
    <row r="83" spans="1:20">
      <c r="A83" s="10"/>
      <c r="B83" s="6"/>
      <c r="C83" s="6"/>
      <c r="D83" s="6"/>
      <c r="E83" s="6"/>
      <c r="F83" s="6"/>
      <c r="G83" s="6"/>
      <c r="H83" s="6"/>
      <c r="I83" s="19"/>
      <c r="J83" s="19" t="str">
        <f>IF(A83="","",I83+SUMIFS('Chemical Usage Log'!$F$3:$F$202,'Chemical Usage Log'!$C$3:$C$202,A83,'Chemical Usage Log'!$E$3:$E$202,"Received")-SUMIFS('Chemical Usage Log'!$F$3:$F$202,'Chemical Usage Log'!$C$3:$C$202,A83,'Chemical Usage Log'!$E$3:$E$202,"Used")-SUMIFS('Chemical Usage Log'!$F$3:$F$202,'Chemical Usage Log'!$C$3:$C$202,A83,'Chemical Usage Log'!$E$3:$E$202,"Disposed")+SUMIFS('Chemical Usage Log'!$F$3:$F$202,'Chemical Usage Log'!$C$3:$C$202,A83,'Chemical Usage Log'!$E$3:$E$202,"Adjusted"))</f>
        <v/>
      </c>
      <c r="K83" s="19"/>
      <c r="L83" s="16"/>
      <c r="M83" s="16"/>
      <c r="N83" s="22" t="str">
        <f t="shared" ca="1" si="6"/>
        <v/>
      </c>
      <c r="O83" s="6" t="str">
        <f t="shared" si="7"/>
        <v/>
      </c>
      <c r="P83" s="6" t="str">
        <f t="shared" ca="1" si="8"/>
        <v/>
      </c>
      <c r="Q83" s="6"/>
      <c r="R83" s="6"/>
      <c r="S83" s="16"/>
      <c r="T83" s="11"/>
    </row>
    <row r="84" spans="1:20">
      <c r="A84" s="10"/>
      <c r="B84" s="6"/>
      <c r="C84" s="6"/>
      <c r="D84" s="6"/>
      <c r="E84" s="6"/>
      <c r="F84" s="6"/>
      <c r="G84" s="6"/>
      <c r="H84" s="6"/>
      <c r="I84" s="19"/>
      <c r="J84" s="19" t="str">
        <f>IF(A84="","",I84+SUMIFS('Chemical Usage Log'!$F$3:$F$202,'Chemical Usage Log'!$C$3:$C$202,A84,'Chemical Usage Log'!$E$3:$E$202,"Received")-SUMIFS('Chemical Usage Log'!$F$3:$F$202,'Chemical Usage Log'!$C$3:$C$202,A84,'Chemical Usage Log'!$E$3:$E$202,"Used")-SUMIFS('Chemical Usage Log'!$F$3:$F$202,'Chemical Usage Log'!$C$3:$C$202,A84,'Chemical Usage Log'!$E$3:$E$202,"Disposed")+SUMIFS('Chemical Usage Log'!$F$3:$F$202,'Chemical Usage Log'!$C$3:$C$202,A84,'Chemical Usage Log'!$E$3:$E$202,"Adjusted"))</f>
        <v/>
      </c>
      <c r="K84" s="19"/>
      <c r="L84" s="16"/>
      <c r="M84" s="16"/>
      <c r="N84" s="22" t="str">
        <f t="shared" ca="1" si="6"/>
        <v/>
      </c>
      <c r="O84" s="6" t="str">
        <f t="shared" si="7"/>
        <v/>
      </c>
      <c r="P84" s="6" t="str">
        <f t="shared" ca="1" si="8"/>
        <v/>
      </c>
      <c r="Q84" s="6"/>
      <c r="R84" s="6"/>
      <c r="S84" s="16"/>
      <c r="T84" s="11"/>
    </row>
    <row r="85" spans="1:20">
      <c r="A85" s="10"/>
      <c r="B85" s="6"/>
      <c r="C85" s="6"/>
      <c r="D85" s="6"/>
      <c r="E85" s="6"/>
      <c r="F85" s="6"/>
      <c r="G85" s="6"/>
      <c r="H85" s="6"/>
      <c r="I85" s="19"/>
      <c r="J85" s="19" t="str">
        <f>IF(A85="","",I85+SUMIFS('Chemical Usage Log'!$F$3:$F$202,'Chemical Usage Log'!$C$3:$C$202,A85,'Chemical Usage Log'!$E$3:$E$202,"Received")-SUMIFS('Chemical Usage Log'!$F$3:$F$202,'Chemical Usage Log'!$C$3:$C$202,A85,'Chemical Usage Log'!$E$3:$E$202,"Used")-SUMIFS('Chemical Usage Log'!$F$3:$F$202,'Chemical Usage Log'!$C$3:$C$202,A85,'Chemical Usage Log'!$E$3:$E$202,"Disposed")+SUMIFS('Chemical Usage Log'!$F$3:$F$202,'Chemical Usage Log'!$C$3:$C$202,A85,'Chemical Usage Log'!$E$3:$E$202,"Adjusted"))</f>
        <v/>
      </c>
      <c r="K85" s="19"/>
      <c r="L85" s="16"/>
      <c r="M85" s="16"/>
      <c r="N85" s="22" t="str">
        <f t="shared" ca="1" si="6"/>
        <v/>
      </c>
      <c r="O85" s="6" t="str">
        <f t="shared" si="7"/>
        <v/>
      </c>
      <c r="P85" s="6" t="str">
        <f t="shared" ca="1" si="8"/>
        <v/>
      </c>
      <c r="Q85" s="6"/>
      <c r="R85" s="6"/>
      <c r="S85" s="16"/>
      <c r="T85" s="11"/>
    </row>
    <row r="86" spans="1:20">
      <c r="A86" s="10"/>
      <c r="B86" s="6"/>
      <c r="C86" s="6"/>
      <c r="D86" s="6"/>
      <c r="E86" s="6"/>
      <c r="F86" s="6"/>
      <c r="G86" s="6"/>
      <c r="H86" s="6"/>
      <c r="I86" s="19"/>
      <c r="J86" s="19" t="str">
        <f>IF(A86="","",I86+SUMIFS('Chemical Usage Log'!$F$3:$F$202,'Chemical Usage Log'!$C$3:$C$202,A86,'Chemical Usage Log'!$E$3:$E$202,"Received")-SUMIFS('Chemical Usage Log'!$F$3:$F$202,'Chemical Usage Log'!$C$3:$C$202,A86,'Chemical Usage Log'!$E$3:$E$202,"Used")-SUMIFS('Chemical Usage Log'!$F$3:$F$202,'Chemical Usage Log'!$C$3:$C$202,A86,'Chemical Usage Log'!$E$3:$E$202,"Disposed")+SUMIFS('Chemical Usage Log'!$F$3:$F$202,'Chemical Usage Log'!$C$3:$C$202,A86,'Chemical Usage Log'!$E$3:$E$202,"Adjusted"))</f>
        <v/>
      </c>
      <c r="K86" s="19"/>
      <c r="L86" s="16"/>
      <c r="M86" s="16"/>
      <c r="N86" s="22" t="str">
        <f t="shared" ca="1" si="6"/>
        <v/>
      </c>
      <c r="O86" s="6" t="str">
        <f t="shared" si="7"/>
        <v/>
      </c>
      <c r="P86" s="6" t="str">
        <f t="shared" ca="1" si="8"/>
        <v/>
      </c>
      <c r="Q86" s="6"/>
      <c r="R86" s="6"/>
      <c r="S86" s="16"/>
      <c r="T86" s="11"/>
    </row>
    <row r="87" spans="1:20">
      <c r="A87" s="10"/>
      <c r="B87" s="6"/>
      <c r="C87" s="6"/>
      <c r="D87" s="6"/>
      <c r="E87" s="6"/>
      <c r="F87" s="6"/>
      <c r="G87" s="6"/>
      <c r="H87" s="6"/>
      <c r="I87" s="19"/>
      <c r="J87" s="19" t="str">
        <f>IF(A87="","",I87+SUMIFS('Chemical Usage Log'!$F$3:$F$202,'Chemical Usage Log'!$C$3:$C$202,A87,'Chemical Usage Log'!$E$3:$E$202,"Received")-SUMIFS('Chemical Usage Log'!$F$3:$F$202,'Chemical Usage Log'!$C$3:$C$202,A87,'Chemical Usage Log'!$E$3:$E$202,"Used")-SUMIFS('Chemical Usage Log'!$F$3:$F$202,'Chemical Usage Log'!$C$3:$C$202,A87,'Chemical Usage Log'!$E$3:$E$202,"Disposed")+SUMIFS('Chemical Usage Log'!$F$3:$F$202,'Chemical Usage Log'!$C$3:$C$202,A87,'Chemical Usage Log'!$E$3:$E$202,"Adjusted"))</f>
        <v/>
      </c>
      <c r="K87" s="19"/>
      <c r="L87" s="16"/>
      <c r="M87" s="16"/>
      <c r="N87" s="22" t="str">
        <f t="shared" ca="1" si="6"/>
        <v/>
      </c>
      <c r="O87" s="6" t="str">
        <f t="shared" si="7"/>
        <v/>
      </c>
      <c r="P87" s="6" t="str">
        <f t="shared" ca="1" si="8"/>
        <v/>
      </c>
      <c r="Q87" s="6"/>
      <c r="R87" s="6"/>
      <c r="S87" s="16"/>
      <c r="T87" s="11"/>
    </row>
    <row r="88" spans="1:20">
      <c r="A88" s="10"/>
      <c r="B88" s="6"/>
      <c r="C88" s="6"/>
      <c r="D88" s="6"/>
      <c r="E88" s="6"/>
      <c r="F88" s="6"/>
      <c r="G88" s="6"/>
      <c r="H88" s="6"/>
      <c r="I88" s="19"/>
      <c r="J88" s="19" t="str">
        <f>IF(A88="","",I88+SUMIFS('Chemical Usage Log'!$F$3:$F$202,'Chemical Usage Log'!$C$3:$C$202,A88,'Chemical Usage Log'!$E$3:$E$202,"Received")-SUMIFS('Chemical Usage Log'!$F$3:$F$202,'Chemical Usage Log'!$C$3:$C$202,A88,'Chemical Usage Log'!$E$3:$E$202,"Used")-SUMIFS('Chemical Usage Log'!$F$3:$F$202,'Chemical Usage Log'!$C$3:$C$202,A88,'Chemical Usage Log'!$E$3:$E$202,"Disposed")+SUMIFS('Chemical Usage Log'!$F$3:$F$202,'Chemical Usage Log'!$C$3:$C$202,A88,'Chemical Usage Log'!$E$3:$E$202,"Adjusted"))</f>
        <v/>
      </c>
      <c r="K88" s="19"/>
      <c r="L88" s="16"/>
      <c r="M88" s="16"/>
      <c r="N88" s="22" t="str">
        <f t="shared" ca="1" si="6"/>
        <v/>
      </c>
      <c r="O88" s="6" t="str">
        <f t="shared" si="7"/>
        <v/>
      </c>
      <c r="P88" s="6" t="str">
        <f t="shared" ca="1" si="8"/>
        <v/>
      </c>
      <c r="Q88" s="6"/>
      <c r="R88" s="6"/>
      <c r="S88" s="16"/>
      <c r="T88" s="11"/>
    </row>
    <row r="89" spans="1:20">
      <c r="A89" s="10"/>
      <c r="B89" s="6"/>
      <c r="C89" s="6"/>
      <c r="D89" s="6"/>
      <c r="E89" s="6"/>
      <c r="F89" s="6"/>
      <c r="G89" s="6"/>
      <c r="H89" s="6"/>
      <c r="I89" s="19"/>
      <c r="J89" s="19" t="str">
        <f>IF(A89="","",I89+SUMIFS('Chemical Usage Log'!$F$3:$F$202,'Chemical Usage Log'!$C$3:$C$202,A89,'Chemical Usage Log'!$E$3:$E$202,"Received")-SUMIFS('Chemical Usage Log'!$F$3:$F$202,'Chemical Usage Log'!$C$3:$C$202,A89,'Chemical Usage Log'!$E$3:$E$202,"Used")-SUMIFS('Chemical Usage Log'!$F$3:$F$202,'Chemical Usage Log'!$C$3:$C$202,A89,'Chemical Usage Log'!$E$3:$E$202,"Disposed")+SUMIFS('Chemical Usage Log'!$F$3:$F$202,'Chemical Usage Log'!$C$3:$C$202,A89,'Chemical Usage Log'!$E$3:$E$202,"Adjusted"))</f>
        <v/>
      </c>
      <c r="K89" s="19"/>
      <c r="L89" s="16"/>
      <c r="M89" s="16"/>
      <c r="N89" s="22" t="str">
        <f t="shared" ca="1" si="6"/>
        <v/>
      </c>
      <c r="O89" s="6" t="str">
        <f t="shared" si="7"/>
        <v/>
      </c>
      <c r="P89" s="6" t="str">
        <f t="shared" ca="1" si="8"/>
        <v/>
      </c>
      <c r="Q89" s="6"/>
      <c r="R89" s="6"/>
      <c r="S89" s="16"/>
      <c r="T89" s="11"/>
    </row>
    <row r="90" spans="1:20">
      <c r="A90" s="10"/>
      <c r="B90" s="6"/>
      <c r="C90" s="6"/>
      <c r="D90" s="6"/>
      <c r="E90" s="6"/>
      <c r="F90" s="6"/>
      <c r="G90" s="6"/>
      <c r="H90" s="6"/>
      <c r="I90" s="19"/>
      <c r="J90" s="19" t="str">
        <f>IF(A90="","",I90+SUMIFS('Chemical Usage Log'!$F$3:$F$202,'Chemical Usage Log'!$C$3:$C$202,A90,'Chemical Usage Log'!$E$3:$E$202,"Received")-SUMIFS('Chemical Usage Log'!$F$3:$F$202,'Chemical Usage Log'!$C$3:$C$202,A90,'Chemical Usage Log'!$E$3:$E$202,"Used")-SUMIFS('Chemical Usage Log'!$F$3:$F$202,'Chemical Usage Log'!$C$3:$C$202,A90,'Chemical Usage Log'!$E$3:$E$202,"Disposed")+SUMIFS('Chemical Usage Log'!$F$3:$F$202,'Chemical Usage Log'!$C$3:$C$202,A90,'Chemical Usage Log'!$E$3:$E$202,"Adjusted"))</f>
        <v/>
      </c>
      <c r="K90" s="19"/>
      <c r="L90" s="16"/>
      <c r="M90" s="16"/>
      <c r="N90" s="22" t="str">
        <f t="shared" ca="1" si="6"/>
        <v/>
      </c>
      <c r="O90" s="6" t="str">
        <f t="shared" si="7"/>
        <v/>
      </c>
      <c r="P90" s="6" t="str">
        <f t="shared" ca="1" si="8"/>
        <v/>
      </c>
      <c r="Q90" s="6"/>
      <c r="R90" s="6"/>
      <c r="S90" s="16"/>
      <c r="T90" s="11"/>
    </row>
    <row r="91" spans="1:20">
      <c r="A91" s="10"/>
      <c r="B91" s="6"/>
      <c r="C91" s="6"/>
      <c r="D91" s="6"/>
      <c r="E91" s="6"/>
      <c r="F91" s="6"/>
      <c r="G91" s="6"/>
      <c r="H91" s="6"/>
      <c r="I91" s="19"/>
      <c r="J91" s="19" t="str">
        <f>IF(A91="","",I91+SUMIFS('Chemical Usage Log'!$F$3:$F$202,'Chemical Usage Log'!$C$3:$C$202,A91,'Chemical Usage Log'!$E$3:$E$202,"Received")-SUMIFS('Chemical Usage Log'!$F$3:$F$202,'Chemical Usage Log'!$C$3:$C$202,A91,'Chemical Usage Log'!$E$3:$E$202,"Used")-SUMIFS('Chemical Usage Log'!$F$3:$F$202,'Chemical Usage Log'!$C$3:$C$202,A91,'Chemical Usage Log'!$E$3:$E$202,"Disposed")+SUMIFS('Chemical Usage Log'!$F$3:$F$202,'Chemical Usage Log'!$C$3:$C$202,A91,'Chemical Usage Log'!$E$3:$E$202,"Adjusted"))</f>
        <v/>
      </c>
      <c r="K91" s="19"/>
      <c r="L91" s="16"/>
      <c r="M91" s="16"/>
      <c r="N91" s="22" t="str">
        <f t="shared" ca="1" si="6"/>
        <v/>
      </c>
      <c r="O91" s="6" t="str">
        <f t="shared" si="7"/>
        <v/>
      </c>
      <c r="P91" s="6" t="str">
        <f t="shared" ca="1" si="8"/>
        <v/>
      </c>
      <c r="Q91" s="6"/>
      <c r="R91" s="6"/>
      <c r="S91" s="16"/>
      <c r="T91" s="11"/>
    </row>
    <row r="92" spans="1:20">
      <c r="A92" s="10"/>
      <c r="B92" s="6"/>
      <c r="C92" s="6"/>
      <c r="D92" s="6"/>
      <c r="E92" s="6"/>
      <c r="F92" s="6"/>
      <c r="G92" s="6"/>
      <c r="H92" s="6"/>
      <c r="I92" s="19"/>
      <c r="J92" s="19" t="str">
        <f>IF(A92="","",I92+SUMIFS('Chemical Usage Log'!$F$3:$F$202,'Chemical Usage Log'!$C$3:$C$202,A92,'Chemical Usage Log'!$E$3:$E$202,"Received")-SUMIFS('Chemical Usage Log'!$F$3:$F$202,'Chemical Usage Log'!$C$3:$C$202,A92,'Chemical Usage Log'!$E$3:$E$202,"Used")-SUMIFS('Chemical Usage Log'!$F$3:$F$202,'Chemical Usage Log'!$C$3:$C$202,A92,'Chemical Usage Log'!$E$3:$E$202,"Disposed")+SUMIFS('Chemical Usage Log'!$F$3:$F$202,'Chemical Usage Log'!$C$3:$C$202,A92,'Chemical Usage Log'!$E$3:$E$202,"Adjusted"))</f>
        <v/>
      </c>
      <c r="K92" s="19"/>
      <c r="L92" s="16"/>
      <c r="M92" s="16"/>
      <c r="N92" s="22" t="str">
        <f t="shared" ca="1" si="6"/>
        <v/>
      </c>
      <c r="O92" s="6" t="str">
        <f t="shared" si="7"/>
        <v/>
      </c>
      <c r="P92" s="6" t="str">
        <f t="shared" ca="1" si="8"/>
        <v/>
      </c>
      <c r="Q92" s="6"/>
      <c r="R92" s="6"/>
      <c r="S92" s="16"/>
      <c r="T92" s="11"/>
    </row>
    <row r="93" spans="1:20">
      <c r="A93" s="10"/>
      <c r="B93" s="6"/>
      <c r="C93" s="6"/>
      <c r="D93" s="6"/>
      <c r="E93" s="6"/>
      <c r="F93" s="6"/>
      <c r="G93" s="6"/>
      <c r="H93" s="6"/>
      <c r="I93" s="19"/>
      <c r="J93" s="19" t="str">
        <f>IF(A93="","",I93+SUMIFS('Chemical Usage Log'!$F$3:$F$202,'Chemical Usage Log'!$C$3:$C$202,A93,'Chemical Usage Log'!$E$3:$E$202,"Received")-SUMIFS('Chemical Usage Log'!$F$3:$F$202,'Chemical Usage Log'!$C$3:$C$202,A93,'Chemical Usage Log'!$E$3:$E$202,"Used")-SUMIFS('Chemical Usage Log'!$F$3:$F$202,'Chemical Usage Log'!$C$3:$C$202,A93,'Chemical Usage Log'!$E$3:$E$202,"Disposed")+SUMIFS('Chemical Usage Log'!$F$3:$F$202,'Chemical Usage Log'!$C$3:$C$202,A93,'Chemical Usage Log'!$E$3:$E$202,"Adjusted"))</f>
        <v/>
      </c>
      <c r="K93" s="19"/>
      <c r="L93" s="16"/>
      <c r="M93" s="16"/>
      <c r="N93" s="22" t="str">
        <f t="shared" ca="1" si="6"/>
        <v/>
      </c>
      <c r="O93" s="6" t="str">
        <f t="shared" si="7"/>
        <v/>
      </c>
      <c r="P93" s="6" t="str">
        <f t="shared" ca="1" si="8"/>
        <v/>
      </c>
      <c r="Q93" s="6"/>
      <c r="R93" s="6"/>
      <c r="S93" s="16"/>
      <c r="T93" s="11"/>
    </row>
    <row r="94" spans="1:20">
      <c r="A94" s="10"/>
      <c r="B94" s="6"/>
      <c r="C94" s="6"/>
      <c r="D94" s="6"/>
      <c r="E94" s="6"/>
      <c r="F94" s="6"/>
      <c r="G94" s="6"/>
      <c r="H94" s="6"/>
      <c r="I94" s="19"/>
      <c r="J94" s="19" t="str">
        <f>IF(A94="","",I94+SUMIFS('Chemical Usage Log'!$F$3:$F$202,'Chemical Usage Log'!$C$3:$C$202,A94,'Chemical Usage Log'!$E$3:$E$202,"Received")-SUMIFS('Chemical Usage Log'!$F$3:$F$202,'Chemical Usage Log'!$C$3:$C$202,A94,'Chemical Usage Log'!$E$3:$E$202,"Used")-SUMIFS('Chemical Usage Log'!$F$3:$F$202,'Chemical Usage Log'!$C$3:$C$202,A94,'Chemical Usage Log'!$E$3:$E$202,"Disposed")+SUMIFS('Chemical Usage Log'!$F$3:$F$202,'Chemical Usage Log'!$C$3:$C$202,A94,'Chemical Usage Log'!$E$3:$E$202,"Adjusted"))</f>
        <v/>
      </c>
      <c r="K94" s="19"/>
      <c r="L94" s="16"/>
      <c r="M94" s="16"/>
      <c r="N94" s="22" t="str">
        <f t="shared" ca="1" si="6"/>
        <v/>
      </c>
      <c r="O94" s="6" t="str">
        <f t="shared" si="7"/>
        <v/>
      </c>
      <c r="P94" s="6" t="str">
        <f t="shared" ca="1" si="8"/>
        <v/>
      </c>
      <c r="Q94" s="6"/>
      <c r="R94" s="6"/>
      <c r="S94" s="16"/>
      <c r="T94" s="11"/>
    </row>
    <row r="95" spans="1:20">
      <c r="A95" s="10"/>
      <c r="B95" s="6"/>
      <c r="C95" s="6"/>
      <c r="D95" s="6"/>
      <c r="E95" s="6"/>
      <c r="F95" s="6"/>
      <c r="G95" s="6"/>
      <c r="H95" s="6"/>
      <c r="I95" s="19"/>
      <c r="J95" s="19" t="str">
        <f>IF(A95="","",I95+SUMIFS('Chemical Usage Log'!$F$3:$F$202,'Chemical Usage Log'!$C$3:$C$202,A95,'Chemical Usage Log'!$E$3:$E$202,"Received")-SUMIFS('Chemical Usage Log'!$F$3:$F$202,'Chemical Usage Log'!$C$3:$C$202,A95,'Chemical Usage Log'!$E$3:$E$202,"Used")-SUMIFS('Chemical Usage Log'!$F$3:$F$202,'Chemical Usage Log'!$C$3:$C$202,A95,'Chemical Usage Log'!$E$3:$E$202,"Disposed")+SUMIFS('Chemical Usage Log'!$F$3:$F$202,'Chemical Usage Log'!$C$3:$C$202,A95,'Chemical Usage Log'!$E$3:$E$202,"Adjusted"))</f>
        <v/>
      </c>
      <c r="K95" s="19"/>
      <c r="L95" s="16"/>
      <c r="M95" s="16"/>
      <c r="N95" s="22" t="str">
        <f t="shared" ca="1" si="6"/>
        <v/>
      </c>
      <c r="O95" s="6" t="str">
        <f t="shared" si="7"/>
        <v/>
      </c>
      <c r="P95" s="6" t="str">
        <f t="shared" ca="1" si="8"/>
        <v/>
      </c>
      <c r="Q95" s="6"/>
      <c r="R95" s="6"/>
      <c r="S95" s="16"/>
      <c r="T95" s="11"/>
    </row>
    <row r="96" spans="1:20">
      <c r="A96" s="10"/>
      <c r="B96" s="6"/>
      <c r="C96" s="6"/>
      <c r="D96" s="6"/>
      <c r="E96" s="6"/>
      <c r="F96" s="6"/>
      <c r="G96" s="6"/>
      <c r="H96" s="6"/>
      <c r="I96" s="19"/>
      <c r="J96" s="19" t="str">
        <f>IF(A96="","",I96+SUMIFS('Chemical Usage Log'!$F$3:$F$202,'Chemical Usage Log'!$C$3:$C$202,A96,'Chemical Usage Log'!$E$3:$E$202,"Received")-SUMIFS('Chemical Usage Log'!$F$3:$F$202,'Chemical Usage Log'!$C$3:$C$202,A96,'Chemical Usage Log'!$E$3:$E$202,"Used")-SUMIFS('Chemical Usage Log'!$F$3:$F$202,'Chemical Usage Log'!$C$3:$C$202,A96,'Chemical Usage Log'!$E$3:$E$202,"Disposed")+SUMIFS('Chemical Usage Log'!$F$3:$F$202,'Chemical Usage Log'!$C$3:$C$202,A96,'Chemical Usage Log'!$E$3:$E$202,"Adjusted"))</f>
        <v/>
      </c>
      <c r="K96" s="19"/>
      <c r="L96" s="16"/>
      <c r="M96" s="16"/>
      <c r="N96" s="22" t="str">
        <f t="shared" ca="1" si="6"/>
        <v/>
      </c>
      <c r="O96" s="6" t="str">
        <f t="shared" si="7"/>
        <v/>
      </c>
      <c r="P96" s="6" t="str">
        <f t="shared" ca="1" si="8"/>
        <v/>
      </c>
      <c r="Q96" s="6"/>
      <c r="R96" s="6"/>
      <c r="S96" s="16"/>
      <c r="T96" s="11"/>
    </row>
    <row r="97" spans="1:20">
      <c r="A97" s="10"/>
      <c r="B97" s="6"/>
      <c r="C97" s="6"/>
      <c r="D97" s="6"/>
      <c r="E97" s="6"/>
      <c r="F97" s="6"/>
      <c r="G97" s="6"/>
      <c r="H97" s="6"/>
      <c r="I97" s="19"/>
      <c r="J97" s="19" t="str">
        <f>IF(A97="","",I97+SUMIFS('Chemical Usage Log'!$F$3:$F$202,'Chemical Usage Log'!$C$3:$C$202,A97,'Chemical Usage Log'!$E$3:$E$202,"Received")-SUMIFS('Chemical Usage Log'!$F$3:$F$202,'Chemical Usage Log'!$C$3:$C$202,A97,'Chemical Usage Log'!$E$3:$E$202,"Used")-SUMIFS('Chemical Usage Log'!$F$3:$F$202,'Chemical Usage Log'!$C$3:$C$202,A97,'Chemical Usage Log'!$E$3:$E$202,"Disposed")+SUMIFS('Chemical Usage Log'!$F$3:$F$202,'Chemical Usage Log'!$C$3:$C$202,A97,'Chemical Usage Log'!$E$3:$E$202,"Adjusted"))</f>
        <v/>
      </c>
      <c r="K97" s="19"/>
      <c r="L97" s="16"/>
      <c r="M97" s="16"/>
      <c r="N97" s="22" t="str">
        <f t="shared" ca="1" si="6"/>
        <v/>
      </c>
      <c r="O97" s="6" t="str">
        <f t="shared" si="7"/>
        <v/>
      </c>
      <c r="P97" s="6" t="str">
        <f t="shared" ca="1" si="8"/>
        <v/>
      </c>
      <c r="Q97" s="6"/>
      <c r="R97" s="6"/>
      <c r="S97" s="16"/>
      <c r="T97" s="11"/>
    </row>
    <row r="98" spans="1:20">
      <c r="A98" s="10"/>
      <c r="B98" s="6"/>
      <c r="C98" s="6"/>
      <c r="D98" s="6"/>
      <c r="E98" s="6"/>
      <c r="F98" s="6"/>
      <c r="G98" s="6"/>
      <c r="H98" s="6"/>
      <c r="I98" s="19"/>
      <c r="J98" s="19" t="str">
        <f>IF(A98="","",I98+SUMIFS('Chemical Usage Log'!$F$3:$F$202,'Chemical Usage Log'!$C$3:$C$202,A98,'Chemical Usage Log'!$E$3:$E$202,"Received")-SUMIFS('Chemical Usage Log'!$F$3:$F$202,'Chemical Usage Log'!$C$3:$C$202,A98,'Chemical Usage Log'!$E$3:$E$202,"Used")-SUMIFS('Chemical Usage Log'!$F$3:$F$202,'Chemical Usage Log'!$C$3:$C$202,A98,'Chemical Usage Log'!$E$3:$E$202,"Disposed")+SUMIFS('Chemical Usage Log'!$F$3:$F$202,'Chemical Usage Log'!$C$3:$C$202,A98,'Chemical Usage Log'!$E$3:$E$202,"Adjusted"))</f>
        <v/>
      </c>
      <c r="K98" s="19"/>
      <c r="L98" s="16"/>
      <c r="M98" s="16"/>
      <c r="N98" s="22" t="str">
        <f t="shared" ca="1" si="6"/>
        <v/>
      </c>
      <c r="O98" s="6" t="str">
        <f t="shared" si="7"/>
        <v/>
      </c>
      <c r="P98" s="6" t="str">
        <f t="shared" ca="1" si="8"/>
        <v/>
      </c>
      <c r="Q98" s="6"/>
      <c r="R98" s="6"/>
      <c r="S98" s="16"/>
      <c r="T98" s="11"/>
    </row>
    <row r="99" spans="1:20">
      <c r="A99" s="10"/>
      <c r="B99" s="6"/>
      <c r="C99" s="6"/>
      <c r="D99" s="6"/>
      <c r="E99" s="6"/>
      <c r="F99" s="6"/>
      <c r="G99" s="6"/>
      <c r="H99" s="6"/>
      <c r="I99" s="19"/>
      <c r="J99" s="19" t="str">
        <f>IF(A99="","",I99+SUMIFS('Chemical Usage Log'!$F$3:$F$202,'Chemical Usage Log'!$C$3:$C$202,A99,'Chemical Usage Log'!$E$3:$E$202,"Received")-SUMIFS('Chemical Usage Log'!$F$3:$F$202,'Chemical Usage Log'!$C$3:$C$202,A99,'Chemical Usage Log'!$E$3:$E$202,"Used")-SUMIFS('Chemical Usage Log'!$F$3:$F$202,'Chemical Usage Log'!$C$3:$C$202,A99,'Chemical Usage Log'!$E$3:$E$202,"Disposed")+SUMIFS('Chemical Usage Log'!$F$3:$F$202,'Chemical Usage Log'!$C$3:$C$202,A99,'Chemical Usage Log'!$E$3:$E$202,"Adjusted"))</f>
        <v/>
      </c>
      <c r="K99" s="19"/>
      <c r="L99" s="16"/>
      <c r="M99" s="16"/>
      <c r="N99" s="22" t="str">
        <f t="shared" ref="N99:N130" ca="1" si="9">IF(M99="","",M99-TODAY())</f>
        <v/>
      </c>
      <c r="O99" s="6" t="str">
        <f t="shared" ref="O99:O130" si="10">IF(J99="","",IF(J99&lt;=0,"OUT OF STOCK",IF(J99&lt;=K99,"LOW STOCK","OK")))</f>
        <v/>
      </c>
      <c r="P99" s="6" t="str">
        <f t="shared" ref="P99:P130" ca="1" si="11">IF(A99="","",IF(M99="","NO EXPIRY DATE",IF(M99&lt;TODAY(),"EXPIRED",IF(M99-TODAY()&lt;=30,"EXPIRING &lt;=30 DAYS",IF(M99-TODAY()&lt;=90,"EXPIRING &lt;=90 DAYS","OK")))))</f>
        <v/>
      </c>
      <c r="Q99" s="6"/>
      <c r="R99" s="6"/>
      <c r="S99" s="16"/>
      <c r="T99" s="11"/>
    </row>
    <row r="100" spans="1:20">
      <c r="A100" s="10"/>
      <c r="B100" s="6"/>
      <c r="C100" s="6"/>
      <c r="D100" s="6"/>
      <c r="E100" s="6"/>
      <c r="F100" s="6"/>
      <c r="G100" s="6"/>
      <c r="H100" s="6"/>
      <c r="I100" s="19"/>
      <c r="J100" s="19" t="str">
        <f>IF(A100="","",I100+SUMIFS('Chemical Usage Log'!$F$3:$F$202,'Chemical Usage Log'!$C$3:$C$202,A100,'Chemical Usage Log'!$E$3:$E$202,"Received")-SUMIFS('Chemical Usage Log'!$F$3:$F$202,'Chemical Usage Log'!$C$3:$C$202,A100,'Chemical Usage Log'!$E$3:$E$202,"Used")-SUMIFS('Chemical Usage Log'!$F$3:$F$202,'Chemical Usage Log'!$C$3:$C$202,A100,'Chemical Usage Log'!$E$3:$E$202,"Disposed")+SUMIFS('Chemical Usage Log'!$F$3:$F$202,'Chemical Usage Log'!$C$3:$C$202,A100,'Chemical Usage Log'!$E$3:$E$202,"Adjusted"))</f>
        <v/>
      </c>
      <c r="K100" s="19"/>
      <c r="L100" s="16"/>
      <c r="M100" s="16"/>
      <c r="N100" s="22" t="str">
        <f t="shared" ca="1" si="9"/>
        <v/>
      </c>
      <c r="O100" s="6" t="str">
        <f t="shared" si="10"/>
        <v/>
      </c>
      <c r="P100" s="6" t="str">
        <f t="shared" ca="1" si="11"/>
        <v/>
      </c>
      <c r="Q100" s="6"/>
      <c r="R100" s="6"/>
      <c r="S100" s="16"/>
      <c r="T100" s="11"/>
    </row>
    <row r="101" spans="1:20">
      <c r="A101" s="10"/>
      <c r="B101" s="6"/>
      <c r="C101" s="6"/>
      <c r="D101" s="6"/>
      <c r="E101" s="6"/>
      <c r="F101" s="6"/>
      <c r="G101" s="6"/>
      <c r="H101" s="6"/>
      <c r="I101" s="19"/>
      <c r="J101" s="19" t="str">
        <f>IF(A101="","",I101+SUMIFS('Chemical Usage Log'!$F$3:$F$202,'Chemical Usage Log'!$C$3:$C$202,A101,'Chemical Usage Log'!$E$3:$E$202,"Received")-SUMIFS('Chemical Usage Log'!$F$3:$F$202,'Chemical Usage Log'!$C$3:$C$202,A101,'Chemical Usage Log'!$E$3:$E$202,"Used")-SUMIFS('Chemical Usage Log'!$F$3:$F$202,'Chemical Usage Log'!$C$3:$C$202,A101,'Chemical Usage Log'!$E$3:$E$202,"Disposed")+SUMIFS('Chemical Usage Log'!$F$3:$F$202,'Chemical Usage Log'!$C$3:$C$202,A101,'Chemical Usage Log'!$E$3:$E$202,"Adjusted"))</f>
        <v/>
      </c>
      <c r="K101" s="19"/>
      <c r="L101" s="16"/>
      <c r="M101" s="16"/>
      <c r="N101" s="22" t="str">
        <f t="shared" ca="1" si="9"/>
        <v/>
      </c>
      <c r="O101" s="6" t="str">
        <f t="shared" si="10"/>
        <v/>
      </c>
      <c r="P101" s="6" t="str">
        <f t="shared" ca="1" si="11"/>
        <v/>
      </c>
      <c r="Q101" s="6"/>
      <c r="R101" s="6"/>
      <c r="S101" s="16"/>
      <c r="T101" s="11"/>
    </row>
    <row r="102" spans="1:20">
      <c r="A102" s="10"/>
      <c r="B102" s="6"/>
      <c r="C102" s="6"/>
      <c r="D102" s="6"/>
      <c r="E102" s="6"/>
      <c r="F102" s="6"/>
      <c r="G102" s="6"/>
      <c r="H102" s="6"/>
      <c r="I102" s="19"/>
      <c r="J102" s="19" t="str">
        <f>IF(A102="","",I102+SUMIFS('Chemical Usage Log'!$F$3:$F$202,'Chemical Usage Log'!$C$3:$C$202,A102,'Chemical Usage Log'!$E$3:$E$202,"Received")-SUMIFS('Chemical Usage Log'!$F$3:$F$202,'Chemical Usage Log'!$C$3:$C$202,A102,'Chemical Usage Log'!$E$3:$E$202,"Used")-SUMIFS('Chemical Usage Log'!$F$3:$F$202,'Chemical Usage Log'!$C$3:$C$202,A102,'Chemical Usage Log'!$E$3:$E$202,"Disposed")+SUMIFS('Chemical Usage Log'!$F$3:$F$202,'Chemical Usage Log'!$C$3:$C$202,A102,'Chemical Usage Log'!$E$3:$E$202,"Adjusted"))</f>
        <v/>
      </c>
      <c r="K102" s="19"/>
      <c r="L102" s="16"/>
      <c r="M102" s="16"/>
      <c r="N102" s="22" t="str">
        <f t="shared" ca="1" si="9"/>
        <v/>
      </c>
      <c r="O102" s="6" t="str">
        <f t="shared" si="10"/>
        <v/>
      </c>
      <c r="P102" s="6" t="str">
        <f t="shared" ca="1" si="11"/>
        <v/>
      </c>
      <c r="Q102" s="6"/>
      <c r="R102" s="6"/>
      <c r="S102" s="16"/>
      <c r="T102" s="11"/>
    </row>
    <row r="103" spans="1:20">
      <c r="A103" s="10"/>
      <c r="B103" s="6"/>
      <c r="C103" s="6"/>
      <c r="D103" s="6"/>
      <c r="E103" s="6"/>
      <c r="F103" s="6"/>
      <c r="G103" s="6"/>
      <c r="H103" s="6"/>
      <c r="I103" s="19"/>
      <c r="J103" s="19" t="str">
        <f>IF(A103="","",I103+SUMIFS('Chemical Usage Log'!$F$3:$F$202,'Chemical Usage Log'!$C$3:$C$202,A103,'Chemical Usage Log'!$E$3:$E$202,"Received")-SUMIFS('Chemical Usage Log'!$F$3:$F$202,'Chemical Usage Log'!$C$3:$C$202,A103,'Chemical Usage Log'!$E$3:$E$202,"Used")-SUMIFS('Chemical Usage Log'!$F$3:$F$202,'Chemical Usage Log'!$C$3:$C$202,A103,'Chemical Usage Log'!$E$3:$E$202,"Disposed")+SUMIFS('Chemical Usage Log'!$F$3:$F$202,'Chemical Usage Log'!$C$3:$C$202,A103,'Chemical Usage Log'!$E$3:$E$202,"Adjusted"))</f>
        <v/>
      </c>
      <c r="K103" s="19"/>
      <c r="L103" s="16"/>
      <c r="M103" s="16"/>
      <c r="N103" s="22" t="str">
        <f t="shared" ca="1" si="9"/>
        <v/>
      </c>
      <c r="O103" s="6" t="str">
        <f t="shared" si="10"/>
        <v/>
      </c>
      <c r="P103" s="6" t="str">
        <f t="shared" ca="1" si="11"/>
        <v/>
      </c>
      <c r="Q103" s="6"/>
      <c r="R103" s="6"/>
      <c r="S103" s="16"/>
      <c r="T103" s="11"/>
    </row>
    <row r="104" spans="1:20">
      <c r="A104" s="10"/>
      <c r="B104" s="6"/>
      <c r="C104" s="6"/>
      <c r="D104" s="6"/>
      <c r="E104" s="6"/>
      <c r="F104" s="6"/>
      <c r="G104" s="6"/>
      <c r="H104" s="6"/>
      <c r="I104" s="19"/>
      <c r="J104" s="19" t="str">
        <f>IF(A104="","",I104+SUMIFS('Chemical Usage Log'!$F$3:$F$202,'Chemical Usage Log'!$C$3:$C$202,A104,'Chemical Usage Log'!$E$3:$E$202,"Received")-SUMIFS('Chemical Usage Log'!$F$3:$F$202,'Chemical Usage Log'!$C$3:$C$202,A104,'Chemical Usage Log'!$E$3:$E$202,"Used")-SUMIFS('Chemical Usage Log'!$F$3:$F$202,'Chemical Usage Log'!$C$3:$C$202,A104,'Chemical Usage Log'!$E$3:$E$202,"Disposed")+SUMIFS('Chemical Usage Log'!$F$3:$F$202,'Chemical Usage Log'!$C$3:$C$202,A104,'Chemical Usage Log'!$E$3:$E$202,"Adjusted"))</f>
        <v/>
      </c>
      <c r="K104" s="19"/>
      <c r="L104" s="16"/>
      <c r="M104" s="16"/>
      <c r="N104" s="22" t="str">
        <f t="shared" ca="1" si="9"/>
        <v/>
      </c>
      <c r="O104" s="6" t="str">
        <f t="shared" si="10"/>
        <v/>
      </c>
      <c r="P104" s="6" t="str">
        <f t="shared" ca="1" si="11"/>
        <v/>
      </c>
      <c r="Q104" s="6"/>
      <c r="R104" s="6"/>
      <c r="S104" s="16"/>
      <c r="T104" s="11"/>
    </row>
    <row r="105" spans="1:20">
      <c r="A105" s="10"/>
      <c r="B105" s="6"/>
      <c r="C105" s="6"/>
      <c r="D105" s="6"/>
      <c r="E105" s="6"/>
      <c r="F105" s="6"/>
      <c r="G105" s="6"/>
      <c r="H105" s="6"/>
      <c r="I105" s="19"/>
      <c r="J105" s="19" t="str">
        <f>IF(A105="","",I105+SUMIFS('Chemical Usage Log'!$F$3:$F$202,'Chemical Usage Log'!$C$3:$C$202,A105,'Chemical Usage Log'!$E$3:$E$202,"Received")-SUMIFS('Chemical Usage Log'!$F$3:$F$202,'Chemical Usage Log'!$C$3:$C$202,A105,'Chemical Usage Log'!$E$3:$E$202,"Used")-SUMIFS('Chemical Usage Log'!$F$3:$F$202,'Chemical Usage Log'!$C$3:$C$202,A105,'Chemical Usage Log'!$E$3:$E$202,"Disposed")+SUMIFS('Chemical Usage Log'!$F$3:$F$202,'Chemical Usage Log'!$C$3:$C$202,A105,'Chemical Usage Log'!$E$3:$E$202,"Adjusted"))</f>
        <v/>
      </c>
      <c r="K105" s="19"/>
      <c r="L105" s="16"/>
      <c r="M105" s="16"/>
      <c r="N105" s="22" t="str">
        <f t="shared" ca="1" si="9"/>
        <v/>
      </c>
      <c r="O105" s="6" t="str">
        <f t="shared" si="10"/>
        <v/>
      </c>
      <c r="P105" s="6" t="str">
        <f t="shared" ca="1" si="11"/>
        <v/>
      </c>
      <c r="Q105" s="6"/>
      <c r="R105" s="6"/>
      <c r="S105" s="16"/>
      <c r="T105" s="11"/>
    </row>
    <row r="106" spans="1:20">
      <c r="A106" s="10"/>
      <c r="B106" s="6"/>
      <c r="C106" s="6"/>
      <c r="D106" s="6"/>
      <c r="E106" s="6"/>
      <c r="F106" s="6"/>
      <c r="G106" s="6"/>
      <c r="H106" s="6"/>
      <c r="I106" s="19"/>
      <c r="J106" s="19" t="str">
        <f>IF(A106="","",I106+SUMIFS('Chemical Usage Log'!$F$3:$F$202,'Chemical Usage Log'!$C$3:$C$202,A106,'Chemical Usage Log'!$E$3:$E$202,"Received")-SUMIFS('Chemical Usage Log'!$F$3:$F$202,'Chemical Usage Log'!$C$3:$C$202,A106,'Chemical Usage Log'!$E$3:$E$202,"Used")-SUMIFS('Chemical Usage Log'!$F$3:$F$202,'Chemical Usage Log'!$C$3:$C$202,A106,'Chemical Usage Log'!$E$3:$E$202,"Disposed")+SUMIFS('Chemical Usage Log'!$F$3:$F$202,'Chemical Usage Log'!$C$3:$C$202,A106,'Chemical Usage Log'!$E$3:$E$202,"Adjusted"))</f>
        <v/>
      </c>
      <c r="K106" s="19"/>
      <c r="L106" s="16"/>
      <c r="M106" s="16"/>
      <c r="N106" s="22" t="str">
        <f t="shared" ca="1" si="9"/>
        <v/>
      </c>
      <c r="O106" s="6" t="str">
        <f t="shared" si="10"/>
        <v/>
      </c>
      <c r="P106" s="6" t="str">
        <f t="shared" ca="1" si="11"/>
        <v/>
      </c>
      <c r="Q106" s="6"/>
      <c r="R106" s="6"/>
      <c r="S106" s="16"/>
      <c r="T106" s="11"/>
    </row>
    <row r="107" spans="1:20">
      <c r="A107" s="10"/>
      <c r="B107" s="6"/>
      <c r="C107" s="6"/>
      <c r="D107" s="6"/>
      <c r="E107" s="6"/>
      <c r="F107" s="6"/>
      <c r="G107" s="6"/>
      <c r="H107" s="6"/>
      <c r="I107" s="19"/>
      <c r="J107" s="19" t="str">
        <f>IF(A107="","",I107+SUMIFS('Chemical Usage Log'!$F$3:$F$202,'Chemical Usage Log'!$C$3:$C$202,A107,'Chemical Usage Log'!$E$3:$E$202,"Received")-SUMIFS('Chemical Usage Log'!$F$3:$F$202,'Chemical Usage Log'!$C$3:$C$202,A107,'Chemical Usage Log'!$E$3:$E$202,"Used")-SUMIFS('Chemical Usage Log'!$F$3:$F$202,'Chemical Usage Log'!$C$3:$C$202,A107,'Chemical Usage Log'!$E$3:$E$202,"Disposed")+SUMIFS('Chemical Usage Log'!$F$3:$F$202,'Chemical Usage Log'!$C$3:$C$202,A107,'Chemical Usage Log'!$E$3:$E$202,"Adjusted"))</f>
        <v/>
      </c>
      <c r="K107" s="19"/>
      <c r="L107" s="16"/>
      <c r="M107" s="16"/>
      <c r="N107" s="22" t="str">
        <f t="shared" ca="1" si="9"/>
        <v/>
      </c>
      <c r="O107" s="6" t="str">
        <f t="shared" si="10"/>
        <v/>
      </c>
      <c r="P107" s="6" t="str">
        <f t="shared" ca="1" si="11"/>
        <v/>
      </c>
      <c r="Q107" s="6"/>
      <c r="R107" s="6"/>
      <c r="S107" s="16"/>
      <c r="T107" s="11"/>
    </row>
    <row r="108" spans="1:20">
      <c r="A108" s="10"/>
      <c r="B108" s="6"/>
      <c r="C108" s="6"/>
      <c r="D108" s="6"/>
      <c r="E108" s="6"/>
      <c r="F108" s="6"/>
      <c r="G108" s="6"/>
      <c r="H108" s="6"/>
      <c r="I108" s="19"/>
      <c r="J108" s="19" t="str">
        <f>IF(A108="","",I108+SUMIFS('Chemical Usage Log'!$F$3:$F$202,'Chemical Usage Log'!$C$3:$C$202,A108,'Chemical Usage Log'!$E$3:$E$202,"Received")-SUMIFS('Chemical Usage Log'!$F$3:$F$202,'Chemical Usage Log'!$C$3:$C$202,A108,'Chemical Usage Log'!$E$3:$E$202,"Used")-SUMIFS('Chemical Usage Log'!$F$3:$F$202,'Chemical Usage Log'!$C$3:$C$202,A108,'Chemical Usage Log'!$E$3:$E$202,"Disposed")+SUMIFS('Chemical Usage Log'!$F$3:$F$202,'Chemical Usage Log'!$C$3:$C$202,A108,'Chemical Usage Log'!$E$3:$E$202,"Adjusted"))</f>
        <v/>
      </c>
      <c r="K108" s="19"/>
      <c r="L108" s="16"/>
      <c r="M108" s="16"/>
      <c r="N108" s="22" t="str">
        <f t="shared" ca="1" si="9"/>
        <v/>
      </c>
      <c r="O108" s="6" t="str">
        <f t="shared" si="10"/>
        <v/>
      </c>
      <c r="P108" s="6" t="str">
        <f t="shared" ca="1" si="11"/>
        <v/>
      </c>
      <c r="Q108" s="6"/>
      <c r="R108" s="6"/>
      <c r="S108" s="16"/>
      <c r="T108" s="11"/>
    </row>
    <row r="109" spans="1:20">
      <c r="A109" s="10"/>
      <c r="B109" s="6"/>
      <c r="C109" s="6"/>
      <c r="D109" s="6"/>
      <c r="E109" s="6"/>
      <c r="F109" s="6"/>
      <c r="G109" s="6"/>
      <c r="H109" s="6"/>
      <c r="I109" s="19"/>
      <c r="J109" s="19" t="str">
        <f>IF(A109="","",I109+SUMIFS('Chemical Usage Log'!$F$3:$F$202,'Chemical Usage Log'!$C$3:$C$202,A109,'Chemical Usage Log'!$E$3:$E$202,"Received")-SUMIFS('Chemical Usage Log'!$F$3:$F$202,'Chemical Usage Log'!$C$3:$C$202,A109,'Chemical Usage Log'!$E$3:$E$202,"Used")-SUMIFS('Chemical Usage Log'!$F$3:$F$202,'Chemical Usage Log'!$C$3:$C$202,A109,'Chemical Usage Log'!$E$3:$E$202,"Disposed")+SUMIFS('Chemical Usage Log'!$F$3:$F$202,'Chemical Usage Log'!$C$3:$C$202,A109,'Chemical Usage Log'!$E$3:$E$202,"Adjusted"))</f>
        <v/>
      </c>
      <c r="K109" s="19"/>
      <c r="L109" s="16"/>
      <c r="M109" s="16"/>
      <c r="N109" s="22" t="str">
        <f t="shared" ca="1" si="9"/>
        <v/>
      </c>
      <c r="O109" s="6" t="str">
        <f t="shared" si="10"/>
        <v/>
      </c>
      <c r="P109" s="6" t="str">
        <f t="shared" ca="1" si="11"/>
        <v/>
      </c>
      <c r="Q109" s="6"/>
      <c r="R109" s="6"/>
      <c r="S109" s="16"/>
      <c r="T109" s="11"/>
    </row>
    <row r="110" spans="1:20">
      <c r="A110" s="10"/>
      <c r="B110" s="6"/>
      <c r="C110" s="6"/>
      <c r="D110" s="6"/>
      <c r="E110" s="6"/>
      <c r="F110" s="6"/>
      <c r="G110" s="6"/>
      <c r="H110" s="6"/>
      <c r="I110" s="19"/>
      <c r="J110" s="19" t="str">
        <f>IF(A110="","",I110+SUMIFS('Chemical Usage Log'!$F$3:$F$202,'Chemical Usage Log'!$C$3:$C$202,A110,'Chemical Usage Log'!$E$3:$E$202,"Received")-SUMIFS('Chemical Usage Log'!$F$3:$F$202,'Chemical Usage Log'!$C$3:$C$202,A110,'Chemical Usage Log'!$E$3:$E$202,"Used")-SUMIFS('Chemical Usage Log'!$F$3:$F$202,'Chemical Usage Log'!$C$3:$C$202,A110,'Chemical Usage Log'!$E$3:$E$202,"Disposed")+SUMIFS('Chemical Usage Log'!$F$3:$F$202,'Chemical Usage Log'!$C$3:$C$202,A110,'Chemical Usage Log'!$E$3:$E$202,"Adjusted"))</f>
        <v/>
      </c>
      <c r="K110" s="19"/>
      <c r="L110" s="16"/>
      <c r="M110" s="16"/>
      <c r="N110" s="22" t="str">
        <f t="shared" ca="1" si="9"/>
        <v/>
      </c>
      <c r="O110" s="6" t="str">
        <f t="shared" si="10"/>
        <v/>
      </c>
      <c r="P110" s="6" t="str">
        <f t="shared" ca="1" si="11"/>
        <v/>
      </c>
      <c r="Q110" s="6"/>
      <c r="R110" s="6"/>
      <c r="S110" s="16"/>
      <c r="T110" s="11"/>
    </row>
    <row r="111" spans="1:20">
      <c r="A111" s="10"/>
      <c r="B111" s="6"/>
      <c r="C111" s="6"/>
      <c r="D111" s="6"/>
      <c r="E111" s="6"/>
      <c r="F111" s="6"/>
      <c r="G111" s="6"/>
      <c r="H111" s="6"/>
      <c r="I111" s="19"/>
      <c r="J111" s="19" t="str">
        <f>IF(A111="","",I111+SUMIFS('Chemical Usage Log'!$F$3:$F$202,'Chemical Usage Log'!$C$3:$C$202,A111,'Chemical Usage Log'!$E$3:$E$202,"Received")-SUMIFS('Chemical Usage Log'!$F$3:$F$202,'Chemical Usage Log'!$C$3:$C$202,A111,'Chemical Usage Log'!$E$3:$E$202,"Used")-SUMIFS('Chemical Usage Log'!$F$3:$F$202,'Chemical Usage Log'!$C$3:$C$202,A111,'Chemical Usage Log'!$E$3:$E$202,"Disposed")+SUMIFS('Chemical Usage Log'!$F$3:$F$202,'Chemical Usage Log'!$C$3:$C$202,A111,'Chemical Usage Log'!$E$3:$E$202,"Adjusted"))</f>
        <v/>
      </c>
      <c r="K111" s="19"/>
      <c r="L111" s="16"/>
      <c r="M111" s="16"/>
      <c r="N111" s="22" t="str">
        <f t="shared" ca="1" si="9"/>
        <v/>
      </c>
      <c r="O111" s="6" t="str">
        <f t="shared" si="10"/>
        <v/>
      </c>
      <c r="P111" s="6" t="str">
        <f t="shared" ca="1" si="11"/>
        <v/>
      </c>
      <c r="Q111" s="6"/>
      <c r="R111" s="6"/>
      <c r="S111" s="16"/>
      <c r="T111" s="11"/>
    </row>
    <row r="112" spans="1:20">
      <c r="A112" s="10"/>
      <c r="B112" s="6"/>
      <c r="C112" s="6"/>
      <c r="D112" s="6"/>
      <c r="E112" s="6"/>
      <c r="F112" s="6"/>
      <c r="G112" s="6"/>
      <c r="H112" s="6"/>
      <c r="I112" s="19"/>
      <c r="J112" s="19" t="str">
        <f>IF(A112="","",I112+SUMIFS('Chemical Usage Log'!$F$3:$F$202,'Chemical Usage Log'!$C$3:$C$202,A112,'Chemical Usage Log'!$E$3:$E$202,"Received")-SUMIFS('Chemical Usage Log'!$F$3:$F$202,'Chemical Usage Log'!$C$3:$C$202,A112,'Chemical Usage Log'!$E$3:$E$202,"Used")-SUMIFS('Chemical Usage Log'!$F$3:$F$202,'Chemical Usage Log'!$C$3:$C$202,A112,'Chemical Usage Log'!$E$3:$E$202,"Disposed")+SUMIFS('Chemical Usage Log'!$F$3:$F$202,'Chemical Usage Log'!$C$3:$C$202,A112,'Chemical Usage Log'!$E$3:$E$202,"Adjusted"))</f>
        <v/>
      </c>
      <c r="K112" s="19"/>
      <c r="L112" s="16"/>
      <c r="M112" s="16"/>
      <c r="N112" s="22" t="str">
        <f t="shared" ca="1" si="9"/>
        <v/>
      </c>
      <c r="O112" s="6" t="str">
        <f t="shared" si="10"/>
        <v/>
      </c>
      <c r="P112" s="6" t="str">
        <f t="shared" ca="1" si="11"/>
        <v/>
      </c>
      <c r="Q112" s="6"/>
      <c r="R112" s="6"/>
      <c r="S112" s="16"/>
      <c r="T112" s="11"/>
    </row>
    <row r="113" spans="1:20">
      <c r="A113" s="10"/>
      <c r="B113" s="6"/>
      <c r="C113" s="6"/>
      <c r="D113" s="6"/>
      <c r="E113" s="6"/>
      <c r="F113" s="6"/>
      <c r="G113" s="6"/>
      <c r="H113" s="6"/>
      <c r="I113" s="19"/>
      <c r="J113" s="19" t="str">
        <f>IF(A113="","",I113+SUMIFS('Chemical Usage Log'!$F$3:$F$202,'Chemical Usage Log'!$C$3:$C$202,A113,'Chemical Usage Log'!$E$3:$E$202,"Received")-SUMIFS('Chemical Usage Log'!$F$3:$F$202,'Chemical Usage Log'!$C$3:$C$202,A113,'Chemical Usage Log'!$E$3:$E$202,"Used")-SUMIFS('Chemical Usage Log'!$F$3:$F$202,'Chemical Usage Log'!$C$3:$C$202,A113,'Chemical Usage Log'!$E$3:$E$202,"Disposed")+SUMIFS('Chemical Usage Log'!$F$3:$F$202,'Chemical Usage Log'!$C$3:$C$202,A113,'Chemical Usage Log'!$E$3:$E$202,"Adjusted"))</f>
        <v/>
      </c>
      <c r="K113" s="19"/>
      <c r="L113" s="16"/>
      <c r="M113" s="16"/>
      <c r="N113" s="22" t="str">
        <f t="shared" ca="1" si="9"/>
        <v/>
      </c>
      <c r="O113" s="6" t="str">
        <f t="shared" si="10"/>
        <v/>
      </c>
      <c r="P113" s="6" t="str">
        <f t="shared" ca="1" si="11"/>
        <v/>
      </c>
      <c r="Q113" s="6"/>
      <c r="R113" s="6"/>
      <c r="S113" s="16"/>
      <c r="T113" s="11"/>
    </row>
    <row r="114" spans="1:20">
      <c r="A114" s="10"/>
      <c r="B114" s="6"/>
      <c r="C114" s="6"/>
      <c r="D114" s="6"/>
      <c r="E114" s="6"/>
      <c r="F114" s="6"/>
      <c r="G114" s="6"/>
      <c r="H114" s="6"/>
      <c r="I114" s="19"/>
      <c r="J114" s="19" t="str">
        <f>IF(A114="","",I114+SUMIFS('Chemical Usage Log'!$F$3:$F$202,'Chemical Usage Log'!$C$3:$C$202,A114,'Chemical Usage Log'!$E$3:$E$202,"Received")-SUMIFS('Chemical Usage Log'!$F$3:$F$202,'Chemical Usage Log'!$C$3:$C$202,A114,'Chemical Usage Log'!$E$3:$E$202,"Used")-SUMIFS('Chemical Usage Log'!$F$3:$F$202,'Chemical Usage Log'!$C$3:$C$202,A114,'Chemical Usage Log'!$E$3:$E$202,"Disposed")+SUMIFS('Chemical Usage Log'!$F$3:$F$202,'Chemical Usage Log'!$C$3:$C$202,A114,'Chemical Usage Log'!$E$3:$E$202,"Adjusted"))</f>
        <v/>
      </c>
      <c r="K114" s="19"/>
      <c r="L114" s="16"/>
      <c r="M114" s="16"/>
      <c r="N114" s="22" t="str">
        <f t="shared" ca="1" si="9"/>
        <v/>
      </c>
      <c r="O114" s="6" t="str">
        <f t="shared" si="10"/>
        <v/>
      </c>
      <c r="P114" s="6" t="str">
        <f t="shared" ca="1" si="11"/>
        <v/>
      </c>
      <c r="Q114" s="6"/>
      <c r="R114" s="6"/>
      <c r="S114" s="16"/>
      <c r="T114" s="11"/>
    </row>
    <row r="115" spans="1:20">
      <c r="A115" s="10"/>
      <c r="B115" s="6"/>
      <c r="C115" s="6"/>
      <c r="D115" s="6"/>
      <c r="E115" s="6"/>
      <c r="F115" s="6"/>
      <c r="G115" s="6"/>
      <c r="H115" s="6"/>
      <c r="I115" s="19"/>
      <c r="J115" s="19" t="str">
        <f>IF(A115="","",I115+SUMIFS('Chemical Usage Log'!$F$3:$F$202,'Chemical Usage Log'!$C$3:$C$202,A115,'Chemical Usage Log'!$E$3:$E$202,"Received")-SUMIFS('Chemical Usage Log'!$F$3:$F$202,'Chemical Usage Log'!$C$3:$C$202,A115,'Chemical Usage Log'!$E$3:$E$202,"Used")-SUMIFS('Chemical Usage Log'!$F$3:$F$202,'Chemical Usage Log'!$C$3:$C$202,A115,'Chemical Usage Log'!$E$3:$E$202,"Disposed")+SUMIFS('Chemical Usage Log'!$F$3:$F$202,'Chemical Usage Log'!$C$3:$C$202,A115,'Chemical Usage Log'!$E$3:$E$202,"Adjusted"))</f>
        <v/>
      </c>
      <c r="K115" s="19"/>
      <c r="L115" s="16"/>
      <c r="M115" s="16"/>
      <c r="N115" s="22" t="str">
        <f t="shared" ca="1" si="9"/>
        <v/>
      </c>
      <c r="O115" s="6" t="str">
        <f t="shared" si="10"/>
        <v/>
      </c>
      <c r="P115" s="6" t="str">
        <f t="shared" ca="1" si="11"/>
        <v/>
      </c>
      <c r="Q115" s="6"/>
      <c r="R115" s="6"/>
      <c r="S115" s="16"/>
      <c r="T115" s="11"/>
    </row>
    <row r="116" spans="1:20">
      <c r="A116" s="10"/>
      <c r="B116" s="6"/>
      <c r="C116" s="6"/>
      <c r="D116" s="6"/>
      <c r="E116" s="6"/>
      <c r="F116" s="6"/>
      <c r="G116" s="6"/>
      <c r="H116" s="6"/>
      <c r="I116" s="19"/>
      <c r="J116" s="19" t="str">
        <f>IF(A116="","",I116+SUMIFS('Chemical Usage Log'!$F$3:$F$202,'Chemical Usage Log'!$C$3:$C$202,A116,'Chemical Usage Log'!$E$3:$E$202,"Received")-SUMIFS('Chemical Usage Log'!$F$3:$F$202,'Chemical Usage Log'!$C$3:$C$202,A116,'Chemical Usage Log'!$E$3:$E$202,"Used")-SUMIFS('Chemical Usage Log'!$F$3:$F$202,'Chemical Usage Log'!$C$3:$C$202,A116,'Chemical Usage Log'!$E$3:$E$202,"Disposed")+SUMIFS('Chemical Usage Log'!$F$3:$F$202,'Chemical Usage Log'!$C$3:$C$202,A116,'Chemical Usage Log'!$E$3:$E$202,"Adjusted"))</f>
        <v/>
      </c>
      <c r="K116" s="19"/>
      <c r="L116" s="16"/>
      <c r="M116" s="16"/>
      <c r="N116" s="22" t="str">
        <f t="shared" ca="1" si="9"/>
        <v/>
      </c>
      <c r="O116" s="6" t="str">
        <f t="shared" si="10"/>
        <v/>
      </c>
      <c r="P116" s="6" t="str">
        <f t="shared" ca="1" si="11"/>
        <v/>
      </c>
      <c r="Q116" s="6"/>
      <c r="R116" s="6"/>
      <c r="S116" s="16"/>
      <c r="T116" s="11"/>
    </row>
    <row r="117" spans="1:20">
      <c r="A117" s="10"/>
      <c r="B117" s="6"/>
      <c r="C117" s="6"/>
      <c r="D117" s="6"/>
      <c r="E117" s="6"/>
      <c r="F117" s="6"/>
      <c r="G117" s="6"/>
      <c r="H117" s="6"/>
      <c r="I117" s="19"/>
      <c r="J117" s="19" t="str">
        <f>IF(A117="","",I117+SUMIFS('Chemical Usage Log'!$F$3:$F$202,'Chemical Usage Log'!$C$3:$C$202,A117,'Chemical Usage Log'!$E$3:$E$202,"Received")-SUMIFS('Chemical Usage Log'!$F$3:$F$202,'Chemical Usage Log'!$C$3:$C$202,A117,'Chemical Usage Log'!$E$3:$E$202,"Used")-SUMIFS('Chemical Usage Log'!$F$3:$F$202,'Chemical Usage Log'!$C$3:$C$202,A117,'Chemical Usage Log'!$E$3:$E$202,"Disposed")+SUMIFS('Chemical Usage Log'!$F$3:$F$202,'Chemical Usage Log'!$C$3:$C$202,A117,'Chemical Usage Log'!$E$3:$E$202,"Adjusted"))</f>
        <v/>
      </c>
      <c r="K117" s="19"/>
      <c r="L117" s="16"/>
      <c r="M117" s="16"/>
      <c r="N117" s="22" t="str">
        <f t="shared" ca="1" si="9"/>
        <v/>
      </c>
      <c r="O117" s="6" t="str">
        <f t="shared" si="10"/>
        <v/>
      </c>
      <c r="P117" s="6" t="str">
        <f t="shared" ca="1" si="11"/>
        <v/>
      </c>
      <c r="Q117" s="6"/>
      <c r="R117" s="6"/>
      <c r="S117" s="16"/>
      <c r="T117" s="11"/>
    </row>
    <row r="118" spans="1:20">
      <c r="A118" s="10"/>
      <c r="B118" s="6"/>
      <c r="C118" s="6"/>
      <c r="D118" s="6"/>
      <c r="E118" s="6"/>
      <c r="F118" s="6"/>
      <c r="G118" s="6"/>
      <c r="H118" s="6"/>
      <c r="I118" s="19"/>
      <c r="J118" s="19" t="str">
        <f>IF(A118="","",I118+SUMIFS('Chemical Usage Log'!$F$3:$F$202,'Chemical Usage Log'!$C$3:$C$202,A118,'Chemical Usage Log'!$E$3:$E$202,"Received")-SUMIFS('Chemical Usage Log'!$F$3:$F$202,'Chemical Usage Log'!$C$3:$C$202,A118,'Chemical Usage Log'!$E$3:$E$202,"Used")-SUMIFS('Chemical Usage Log'!$F$3:$F$202,'Chemical Usage Log'!$C$3:$C$202,A118,'Chemical Usage Log'!$E$3:$E$202,"Disposed")+SUMIFS('Chemical Usage Log'!$F$3:$F$202,'Chemical Usage Log'!$C$3:$C$202,A118,'Chemical Usage Log'!$E$3:$E$202,"Adjusted"))</f>
        <v/>
      </c>
      <c r="K118" s="19"/>
      <c r="L118" s="16"/>
      <c r="M118" s="16"/>
      <c r="N118" s="22" t="str">
        <f t="shared" ca="1" si="9"/>
        <v/>
      </c>
      <c r="O118" s="6" t="str">
        <f t="shared" si="10"/>
        <v/>
      </c>
      <c r="P118" s="6" t="str">
        <f t="shared" ca="1" si="11"/>
        <v/>
      </c>
      <c r="Q118" s="6"/>
      <c r="R118" s="6"/>
      <c r="S118" s="16"/>
      <c r="T118" s="11"/>
    </row>
    <row r="119" spans="1:20">
      <c r="A119" s="10"/>
      <c r="B119" s="6"/>
      <c r="C119" s="6"/>
      <c r="D119" s="6"/>
      <c r="E119" s="6"/>
      <c r="F119" s="6"/>
      <c r="G119" s="6"/>
      <c r="H119" s="6"/>
      <c r="I119" s="19"/>
      <c r="J119" s="19" t="str">
        <f>IF(A119="","",I119+SUMIFS('Chemical Usage Log'!$F$3:$F$202,'Chemical Usage Log'!$C$3:$C$202,A119,'Chemical Usage Log'!$E$3:$E$202,"Received")-SUMIFS('Chemical Usage Log'!$F$3:$F$202,'Chemical Usage Log'!$C$3:$C$202,A119,'Chemical Usage Log'!$E$3:$E$202,"Used")-SUMIFS('Chemical Usage Log'!$F$3:$F$202,'Chemical Usage Log'!$C$3:$C$202,A119,'Chemical Usage Log'!$E$3:$E$202,"Disposed")+SUMIFS('Chemical Usage Log'!$F$3:$F$202,'Chemical Usage Log'!$C$3:$C$202,A119,'Chemical Usage Log'!$E$3:$E$202,"Adjusted"))</f>
        <v/>
      </c>
      <c r="K119" s="19"/>
      <c r="L119" s="16"/>
      <c r="M119" s="16"/>
      <c r="N119" s="22" t="str">
        <f t="shared" ca="1" si="9"/>
        <v/>
      </c>
      <c r="O119" s="6" t="str">
        <f t="shared" si="10"/>
        <v/>
      </c>
      <c r="P119" s="6" t="str">
        <f t="shared" ca="1" si="11"/>
        <v/>
      </c>
      <c r="Q119" s="6"/>
      <c r="R119" s="6"/>
      <c r="S119" s="16"/>
      <c r="T119" s="11"/>
    </row>
    <row r="120" spans="1:20">
      <c r="A120" s="10"/>
      <c r="B120" s="6"/>
      <c r="C120" s="6"/>
      <c r="D120" s="6"/>
      <c r="E120" s="6"/>
      <c r="F120" s="6"/>
      <c r="G120" s="6"/>
      <c r="H120" s="6"/>
      <c r="I120" s="19"/>
      <c r="J120" s="19" t="str">
        <f>IF(A120="","",I120+SUMIFS('Chemical Usage Log'!$F$3:$F$202,'Chemical Usage Log'!$C$3:$C$202,A120,'Chemical Usage Log'!$E$3:$E$202,"Received")-SUMIFS('Chemical Usage Log'!$F$3:$F$202,'Chemical Usage Log'!$C$3:$C$202,A120,'Chemical Usage Log'!$E$3:$E$202,"Used")-SUMIFS('Chemical Usage Log'!$F$3:$F$202,'Chemical Usage Log'!$C$3:$C$202,A120,'Chemical Usage Log'!$E$3:$E$202,"Disposed")+SUMIFS('Chemical Usage Log'!$F$3:$F$202,'Chemical Usage Log'!$C$3:$C$202,A120,'Chemical Usage Log'!$E$3:$E$202,"Adjusted"))</f>
        <v/>
      </c>
      <c r="K120" s="19"/>
      <c r="L120" s="16"/>
      <c r="M120" s="16"/>
      <c r="N120" s="22" t="str">
        <f t="shared" ca="1" si="9"/>
        <v/>
      </c>
      <c r="O120" s="6" t="str">
        <f t="shared" si="10"/>
        <v/>
      </c>
      <c r="P120" s="6" t="str">
        <f t="shared" ca="1" si="11"/>
        <v/>
      </c>
      <c r="Q120" s="6"/>
      <c r="R120" s="6"/>
      <c r="S120" s="16"/>
      <c r="T120" s="11"/>
    </row>
    <row r="121" spans="1:20">
      <c r="A121" s="10"/>
      <c r="B121" s="6"/>
      <c r="C121" s="6"/>
      <c r="D121" s="6"/>
      <c r="E121" s="6"/>
      <c r="F121" s="6"/>
      <c r="G121" s="6"/>
      <c r="H121" s="6"/>
      <c r="I121" s="19"/>
      <c r="J121" s="19" t="str">
        <f>IF(A121="","",I121+SUMIFS('Chemical Usage Log'!$F$3:$F$202,'Chemical Usage Log'!$C$3:$C$202,A121,'Chemical Usage Log'!$E$3:$E$202,"Received")-SUMIFS('Chemical Usage Log'!$F$3:$F$202,'Chemical Usage Log'!$C$3:$C$202,A121,'Chemical Usage Log'!$E$3:$E$202,"Used")-SUMIFS('Chemical Usage Log'!$F$3:$F$202,'Chemical Usage Log'!$C$3:$C$202,A121,'Chemical Usage Log'!$E$3:$E$202,"Disposed")+SUMIFS('Chemical Usage Log'!$F$3:$F$202,'Chemical Usage Log'!$C$3:$C$202,A121,'Chemical Usage Log'!$E$3:$E$202,"Adjusted"))</f>
        <v/>
      </c>
      <c r="K121" s="19"/>
      <c r="L121" s="16"/>
      <c r="M121" s="16"/>
      <c r="N121" s="22" t="str">
        <f t="shared" ca="1" si="9"/>
        <v/>
      </c>
      <c r="O121" s="6" t="str">
        <f t="shared" si="10"/>
        <v/>
      </c>
      <c r="P121" s="6" t="str">
        <f t="shared" ca="1" si="11"/>
        <v/>
      </c>
      <c r="Q121" s="6"/>
      <c r="R121" s="6"/>
      <c r="S121" s="16"/>
      <c r="T121" s="11"/>
    </row>
    <row r="122" spans="1:20">
      <c r="A122" s="10"/>
      <c r="B122" s="6"/>
      <c r="C122" s="6"/>
      <c r="D122" s="6"/>
      <c r="E122" s="6"/>
      <c r="F122" s="6"/>
      <c r="G122" s="6"/>
      <c r="H122" s="6"/>
      <c r="I122" s="19"/>
      <c r="J122" s="19" t="str">
        <f>IF(A122="","",I122+SUMIFS('Chemical Usage Log'!$F$3:$F$202,'Chemical Usage Log'!$C$3:$C$202,A122,'Chemical Usage Log'!$E$3:$E$202,"Received")-SUMIFS('Chemical Usage Log'!$F$3:$F$202,'Chemical Usage Log'!$C$3:$C$202,A122,'Chemical Usage Log'!$E$3:$E$202,"Used")-SUMIFS('Chemical Usage Log'!$F$3:$F$202,'Chemical Usage Log'!$C$3:$C$202,A122,'Chemical Usage Log'!$E$3:$E$202,"Disposed")+SUMIFS('Chemical Usage Log'!$F$3:$F$202,'Chemical Usage Log'!$C$3:$C$202,A122,'Chemical Usage Log'!$E$3:$E$202,"Adjusted"))</f>
        <v/>
      </c>
      <c r="K122" s="19"/>
      <c r="L122" s="16"/>
      <c r="M122" s="16"/>
      <c r="N122" s="22" t="str">
        <f t="shared" ca="1" si="9"/>
        <v/>
      </c>
      <c r="O122" s="6" t="str">
        <f t="shared" si="10"/>
        <v/>
      </c>
      <c r="P122" s="6" t="str">
        <f t="shared" ca="1" si="11"/>
        <v/>
      </c>
      <c r="Q122" s="6"/>
      <c r="R122" s="6"/>
      <c r="S122" s="16"/>
      <c r="T122" s="11"/>
    </row>
    <row r="123" spans="1:20">
      <c r="A123" s="10"/>
      <c r="B123" s="6"/>
      <c r="C123" s="6"/>
      <c r="D123" s="6"/>
      <c r="E123" s="6"/>
      <c r="F123" s="6"/>
      <c r="G123" s="6"/>
      <c r="H123" s="6"/>
      <c r="I123" s="19"/>
      <c r="J123" s="19" t="str">
        <f>IF(A123="","",I123+SUMIFS('Chemical Usage Log'!$F$3:$F$202,'Chemical Usage Log'!$C$3:$C$202,A123,'Chemical Usage Log'!$E$3:$E$202,"Received")-SUMIFS('Chemical Usage Log'!$F$3:$F$202,'Chemical Usage Log'!$C$3:$C$202,A123,'Chemical Usage Log'!$E$3:$E$202,"Used")-SUMIFS('Chemical Usage Log'!$F$3:$F$202,'Chemical Usage Log'!$C$3:$C$202,A123,'Chemical Usage Log'!$E$3:$E$202,"Disposed")+SUMIFS('Chemical Usage Log'!$F$3:$F$202,'Chemical Usage Log'!$C$3:$C$202,A123,'Chemical Usage Log'!$E$3:$E$202,"Adjusted"))</f>
        <v/>
      </c>
      <c r="K123" s="19"/>
      <c r="L123" s="16"/>
      <c r="M123" s="16"/>
      <c r="N123" s="22" t="str">
        <f t="shared" ca="1" si="9"/>
        <v/>
      </c>
      <c r="O123" s="6" t="str">
        <f t="shared" si="10"/>
        <v/>
      </c>
      <c r="P123" s="6" t="str">
        <f t="shared" ca="1" si="11"/>
        <v/>
      </c>
      <c r="Q123" s="6"/>
      <c r="R123" s="6"/>
      <c r="S123" s="16"/>
      <c r="T123" s="11"/>
    </row>
    <row r="124" spans="1:20">
      <c r="A124" s="10"/>
      <c r="B124" s="6"/>
      <c r="C124" s="6"/>
      <c r="D124" s="6"/>
      <c r="E124" s="6"/>
      <c r="F124" s="6"/>
      <c r="G124" s="6"/>
      <c r="H124" s="6"/>
      <c r="I124" s="19"/>
      <c r="J124" s="19" t="str">
        <f>IF(A124="","",I124+SUMIFS('Chemical Usage Log'!$F$3:$F$202,'Chemical Usage Log'!$C$3:$C$202,A124,'Chemical Usage Log'!$E$3:$E$202,"Received")-SUMIFS('Chemical Usage Log'!$F$3:$F$202,'Chemical Usage Log'!$C$3:$C$202,A124,'Chemical Usage Log'!$E$3:$E$202,"Used")-SUMIFS('Chemical Usage Log'!$F$3:$F$202,'Chemical Usage Log'!$C$3:$C$202,A124,'Chemical Usage Log'!$E$3:$E$202,"Disposed")+SUMIFS('Chemical Usage Log'!$F$3:$F$202,'Chemical Usage Log'!$C$3:$C$202,A124,'Chemical Usage Log'!$E$3:$E$202,"Adjusted"))</f>
        <v/>
      </c>
      <c r="K124" s="19"/>
      <c r="L124" s="16"/>
      <c r="M124" s="16"/>
      <c r="N124" s="22" t="str">
        <f t="shared" ca="1" si="9"/>
        <v/>
      </c>
      <c r="O124" s="6" t="str">
        <f t="shared" si="10"/>
        <v/>
      </c>
      <c r="P124" s="6" t="str">
        <f t="shared" ca="1" si="11"/>
        <v/>
      </c>
      <c r="Q124" s="6"/>
      <c r="R124" s="6"/>
      <c r="S124" s="16"/>
      <c r="T124" s="11"/>
    </row>
    <row r="125" spans="1:20">
      <c r="A125" s="10"/>
      <c r="B125" s="6"/>
      <c r="C125" s="6"/>
      <c r="D125" s="6"/>
      <c r="E125" s="6"/>
      <c r="F125" s="6"/>
      <c r="G125" s="6"/>
      <c r="H125" s="6"/>
      <c r="I125" s="19"/>
      <c r="J125" s="19" t="str">
        <f>IF(A125="","",I125+SUMIFS('Chemical Usage Log'!$F$3:$F$202,'Chemical Usage Log'!$C$3:$C$202,A125,'Chemical Usage Log'!$E$3:$E$202,"Received")-SUMIFS('Chemical Usage Log'!$F$3:$F$202,'Chemical Usage Log'!$C$3:$C$202,A125,'Chemical Usage Log'!$E$3:$E$202,"Used")-SUMIFS('Chemical Usage Log'!$F$3:$F$202,'Chemical Usage Log'!$C$3:$C$202,A125,'Chemical Usage Log'!$E$3:$E$202,"Disposed")+SUMIFS('Chemical Usage Log'!$F$3:$F$202,'Chemical Usage Log'!$C$3:$C$202,A125,'Chemical Usage Log'!$E$3:$E$202,"Adjusted"))</f>
        <v/>
      </c>
      <c r="K125" s="19"/>
      <c r="L125" s="16"/>
      <c r="M125" s="16"/>
      <c r="N125" s="22" t="str">
        <f t="shared" ca="1" si="9"/>
        <v/>
      </c>
      <c r="O125" s="6" t="str">
        <f t="shared" si="10"/>
        <v/>
      </c>
      <c r="P125" s="6" t="str">
        <f t="shared" ca="1" si="11"/>
        <v/>
      </c>
      <c r="Q125" s="6"/>
      <c r="R125" s="6"/>
      <c r="S125" s="16"/>
      <c r="T125" s="11"/>
    </row>
    <row r="126" spans="1:20">
      <c r="A126" s="10"/>
      <c r="B126" s="6"/>
      <c r="C126" s="6"/>
      <c r="D126" s="6"/>
      <c r="E126" s="6"/>
      <c r="F126" s="6"/>
      <c r="G126" s="6"/>
      <c r="H126" s="6"/>
      <c r="I126" s="19"/>
      <c r="J126" s="19" t="str">
        <f>IF(A126="","",I126+SUMIFS('Chemical Usage Log'!$F$3:$F$202,'Chemical Usage Log'!$C$3:$C$202,A126,'Chemical Usage Log'!$E$3:$E$202,"Received")-SUMIFS('Chemical Usage Log'!$F$3:$F$202,'Chemical Usage Log'!$C$3:$C$202,A126,'Chemical Usage Log'!$E$3:$E$202,"Used")-SUMIFS('Chemical Usage Log'!$F$3:$F$202,'Chemical Usage Log'!$C$3:$C$202,A126,'Chemical Usage Log'!$E$3:$E$202,"Disposed")+SUMIFS('Chemical Usage Log'!$F$3:$F$202,'Chemical Usage Log'!$C$3:$C$202,A126,'Chemical Usage Log'!$E$3:$E$202,"Adjusted"))</f>
        <v/>
      </c>
      <c r="K126" s="19"/>
      <c r="L126" s="16"/>
      <c r="M126" s="16"/>
      <c r="N126" s="22" t="str">
        <f t="shared" ca="1" si="9"/>
        <v/>
      </c>
      <c r="O126" s="6" t="str">
        <f t="shared" si="10"/>
        <v/>
      </c>
      <c r="P126" s="6" t="str">
        <f t="shared" ca="1" si="11"/>
        <v/>
      </c>
      <c r="Q126" s="6"/>
      <c r="R126" s="6"/>
      <c r="S126" s="16"/>
      <c r="T126" s="11"/>
    </row>
    <row r="127" spans="1:20">
      <c r="A127" s="10"/>
      <c r="B127" s="6"/>
      <c r="C127" s="6"/>
      <c r="D127" s="6"/>
      <c r="E127" s="6"/>
      <c r="F127" s="6"/>
      <c r="G127" s="6"/>
      <c r="H127" s="6"/>
      <c r="I127" s="19"/>
      <c r="J127" s="19" t="str">
        <f>IF(A127="","",I127+SUMIFS('Chemical Usage Log'!$F$3:$F$202,'Chemical Usage Log'!$C$3:$C$202,A127,'Chemical Usage Log'!$E$3:$E$202,"Received")-SUMIFS('Chemical Usage Log'!$F$3:$F$202,'Chemical Usage Log'!$C$3:$C$202,A127,'Chemical Usage Log'!$E$3:$E$202,"Used")-SUMIFS('Chemical Usage Log'!$F$3:$F$202,'Chemical Usage Log'!$C$3:$C$202,A127,'Chemical Usage Log'!$E$3:$E$202,"Disposed")+SUMIFS('Chemical Usage Log'!$F$3:$F$202,'Chemical Usage Log'!$C$3:$C$202,A127,'Chemical Usage Log'!$E$3:$E$202,"Adjusted"))</f>
        <v/>
      </c>
      <c r="K127" s="19"/>
      <c r="L127" s="16"/>
      <c r="M127" s="16"/>
      <c r="N127" s="22" t="str">
        <f t="shared" ca="1" si="9"/>
        <v/>
      </c>
      <c r="O127" s="6" t="str">
        <f t="shared" si="10"/>
        <v/>
      </c>
      <c r="P127" s="6" t="str">
        <f t="shared" ca="1" si="11"/>
        <v/>
      </c>
      <c r="Q127" s="6"/>
      <c r="R127" s="6"/>
      <c r="S127" s="16"/>
      <c r="T127" s="11"/>
    </row>
    <row r="128" spans="1:20">
      <c r="A128" s="10"/>
      <c r="B128" s="6"/>
      <c r="C128" s="6"/>
      <c r="D128" s="6"/>
      <c r="E128" s="6"/>
      <c r="F128" s="6"/>
      <c r="G128" s="6"/>
      <c r="H128" s="6"/>
      <c r="I128" s="19"/>
      <c r="J128" s="19" t="str">
        <f>IF(A128="","",I128+SUMIFS('Chemical Usage Log'!$F$3:$F$202,'Chemical Usage Log'!$C$3:$C$202,A128,'Chemical Usage Log'!$E$3:$E$202,"Received")-SUMIFS('Chemical Usage Log'!$F$3:$F$202,'Chemical Usage Log'!$C$3:$C$202,A128,'Chemical Usage Log'!$E$3:$E$202,"Used")-SUMIFS('Chemical Usage Log'!$F$3:$F$202,'Chemical Usage Log'!$C$3:$C$202,A128,'Chemical Usage Log'!$E$3:$E$202,"Disposed")+SUMIFS('Chemical Usage Log'!$F$3:$F$202,'Chemical Usage Log'!$C$3:$C$202,A128,'Chemical Usage Log'!$E$3:$E$202,"Adjusted"))</f>
        <v/>
      </c>
      <c r="K128" s="19"/>
      <c r="L128" s="16"/>
      <c r="M128" s="16"/>
      <c r="N128" s="22" t="str">
        <f t="shared" ca="1" si="9"/>
        <v/>
      </c>
      <c r="O128" s="6" t="str">
        <f t="shared" si="10"/>
        <v/>
      </c>
      <c r="P128" s="6" t="str">
        <f t="shared" ca="1" si="11"/>
        <v/>
      </c>
      <c r="Q128" s="6"/>
      <c r="R128" s="6"/>
      <c r="S128" s="16"/>
      <c r="T128" s="11"/>
    </row>
    <row r="129" spans="1:20">
      <c r="A129" s="10"/>
      <c r="B129" s="6"/>
      <c r="C129" s="6"/>
      <c r="D129" s="6"/>
      <c r="E129" s="6"/>
      <c r="F129" s="6"/>
      <c r="G129" s="6"/>
      <c r="H129" s="6"/>
      <c r="I129" s="19"/>
      <c r="J129" s="19" t="str">
        <f>IF(A129="","",I129+SUMIFS('Chemical Usage Log'!$F$3:$F$202,'Chemical Usage Log'!$C$3:$C$202,A129,'Chemical Usage Log'!$E$3:$E$202,"Received")-SUMIFS('Chemical Usage Log'!$F$3:$F$202,'Chemical Usage Log'!$C$3:$C$202,A129,'Chemical Usage Log'!$E$3:$E$202,"Used")-SUMIFS('Chemical Usage Log'!$F$3:$F$202,'Chemical Usage Log'!$C$3:$C$202,A129,'Chemical Usage Log'!$E$3:$E$202,"Disposed")+SUMIFS('Chemical Usage Log'!$F$3:$F$202,'Chemical Usage Log'!$C$3:$C$202,A129,'Chemical Usage Log'!$E$3:$E$202,"Adjusted"))</f>
        <v/>
      </c>
      <c r="K129" s="19"/>
      <c r="L129" s="16"/>
      <c r="M129" s="16"/>
      <c r="N129" s="22" t="str">
        <f t="shared" ca="1" si="9"/>
        <v/>
      </c>
      <c r="O129" s="6" t="str">
        <f t="shared" si="10"/>
        <v/>
      </c>
      <c r="P129" s="6" t="str">
        <f t="shared" ca="1" si="11"/>
        <v/>
      </c>
      <c r="Q129" s="6"/>
      <c r="R129" s="6"/>
      <c r="S129" s="16"/>
      <c r="T129" s="11"/>
    </row>
    <row r="130" spans="1:20">
      <c r="A130" s="10"/>
      <c r="B130" s="6"/>
      <c r="C130" s="6"/>
      <c r="D130" s="6"/>
      <c r="E130" s="6"/>
      <c r="F130" s="6"/>
      <c r="G130" s="6"/>
      <c r="H130" s="6"/>
      <c r="I130" s="19"/>
      <c r="J130" s="19" t="str">
        <f>IF(A130="","",I130+SUMIFS('Chemical Usage Log'!$F$3:$F$202,'Chemical Usage Log'!$C$3:$C$202,A130,'Chemical Usage Log'!$E$3:$E$202,"Received")-SUMIFS('Chemical Usage Log'!$F$3:$F$202,'Chemical Usage Log'!$C$3:$C$202,A130,'Chemical Usage Log'!$E$3:$E$202,"Used")-SUMIFS('Chemical Usage Log'!$F$3:$F$202,'Chemical Usage Log'!$C$3:$C$202,A130,'Chemical Usage Log'!$E$3:$E$202,"Disposed")+SUMIFS('Chemical Usage Log'!$F$3:$F$202,'Chemical Usage Log'!$C$3:$C$202,A130,'Chemical Usage Log'!$E$3:$E$202,"Adjusted"))</f>
        <v/>
      </c>
      <c r="K130" s="19"/>
      <c r="L130" s="16"/>
      <c r="M130" s="16"/>
      <c r="N130" s="22" t="str">
        <f t="shared" ca="1" si="9"/>
        <v/>
      </c>
      <c r="O130" s="6" t="str">
        <f t="shared" si="10"/>
        <v/>
      </c>
      <c r="P130" s="6" t="str">
        <f t="shared" ca="1" si="11"/>
        <v/>
      </c>
      <c r="Q130" s="6"/>
      <c r="R130" s="6"/>
      <c r="S130" s="16"/>
      <c r="T130" s="11"/>
    </row>
    <row r="131" spans="1:20">
      <c r="A131" s="10"/>
      <c r="B131" s="6"/>
      <c r="C131" s="6"/>
      <c r="D131" s="6"/>
      <c r="E131" s="6"/>
      <c r="F131" s="6"/>
      <c r="G131" s="6"/>
      <c r="H131" s="6"/>
      <c r="I131" s="19"/>
      <c r="J131" s="19" t="str">
        <f>IF(A131="","",I131+SUMIFS('Chemical Usage Log'!$F$3:$F$202,'Chemical Usage Log'!$C$3:$C$202,A131,'Chemical Usage Log'!$E$3:$E$202,"Received")-SUMIFS('Chemical Usage Log'!$F$3:$F$202,'Chemical Usage Log'!$C$3:$C$202,A131,'Chemical Usage Log'!$E$3:$E$202,"Used")-SUMIFS('Chemical Usage Log'!$F$3:$F$202,'Chemical Usage Log'!$C$3:$C$202,A131,'Chemical Usage Log'!$E$3:$E$202,"Disposed")+SUMIFS('Chemical Usage Log'!$F$3:$F$202,'Chemical Usage Log'!$C$3:$C$202,A131,'Chemical Usage Log'!$E$3:$E$202,"Adjusted"))</f>
        <v/>
      </c>
      <c r="K131" s="19"/>
      <c r="L131" s="16"/>
      <c r="M131" s="16"/>
      <c r="N131" s="22" t="str">
        <f t="shared" ref="N131:N162" ca="1" si="12">IF(M131="","",M131-TODAY())</f>
        <v/>
      </c>
      <c r="O131" s="6" t="str">
        <f t="shared" ref="O131:O162" si="13">IF(J131="","",IF(J131&lt;=0,"OUT OF STOCK",IF(J131&lt;=K131,"LOW STOCK","OK")))</f>
        <v/>
      </c>
      <c r="P131" s="6" t="str">
        <f t="shared" ref="P131:P162" ca="1" si="14">IF(A131="","",IF(M131="","NO EXPIRY DATE",IF(M131&lt;TODAY(),"EXPIRED",IF(M131-TODAY()&lt;=30,"EXPIRING &lt;=30 DAYS",IF(M131-TODAY()&lt;=90,"EXPIRING &lt;=90 DAYS","OK")))))</f>
        <v/>
      </c>
      <c r="Q131" s="6"/>
      <c r="R131" s="6"/>
      <c r="S131" s="16"/>
      <c r="T131" s="11"/>
    </row>
    <row r="132" spans="1:20">
      <c r="A132" s="10"/>
      <c r="B132" s="6"/>
      <c r="C132" s="6"/>
      <c r="D132" s="6"/>
      <c r="E132" s="6"/>
      <c r="F132" s="6"/>
      <c r="G132" s="6"/>
      <c r="H132" s="6"/>
      <c r="I132" s="19"/>
      <c r="J132" s="19" t="str">
        <f>IF(A132="","",I132+SUMIFS('Chemical Usage Log'!$F$3:$F$202,'Chemical Usage Log'!$C$3:$C$202,A132,'Chemical Usage Log'!$E$3:$E$202,"Received")-SUMIFS('Chemical Usage Log'!$F$3:$F$202,'Chemical Usage Log'!$C$3:$C$202,A132,'Chemical Usage Log'!$E$3:$E$202,"Used")-SUMIFS('Chemical Usage Log'!$F$3:$F$202,'Chemical Usage Log'!$C$3:$C$202,A132,'Chemical Usage Log'!$E$3:$E$202,"Disposed")+SUMIFS('Chemical Usage Log'!$F$3:$F$202,'Chemical Usage Log'!$C$3:$C$202,A132,'Chemical Usage Log'!$E$3:$E$202,"Adjusted"))</f>
        <v/>
      </c>
      <c r="K132" s="19"/>
      <c r="L132" s="16"/>
      <c r="M132" s="16"/>
      <c r="N132" s="22" t="str">
        <f t="shared" ca="1" si="12"/>
        <v/>
      </c>
      <c r="O132" s="6" t="str">
        <f t="shared" si="13"/>
        <v/>
      </c>
      <c r="P132" s="6" t="str">
        <f t="shared" ca="1" si="14"/>
        <v/>
      </c>
      <c r="Q132" s="6"/>
      <c r="R132" s="6"/>
      <c r="S132" s="16"/>
      <c r="T132" s="11"/>
    </row>
    <row r="133" spans="1:20">
      <c r="A133" s="10"/>
      <c r="B133" s="6"/>
      <c r="C133" s="6"/>
      <c r="D133" s="6"/>
      <c r="E133" s="6"/>
      <c r="F133" s="6"/>
      <c r="G133" s="6"/>
      <c r="H133" s="6"/>
      <c r="I133" s="19"/>
      <c r="J133" s="19" t="str">
        <f>IF(A133="","",I133+SUMIFS('Chemical Usage Log'!$F$3:$F$202,'Chemical Usage Log'!$C$3:$C$202,A133,'Chemical Usage Log'!$E$3:$E$202,"Received")-SUMIFS('Chemical Usage Log'!$F$3:$F$202,'Chemical Usage Log'!$C$3:$C$202,A133,'Chemical Usage Log'!$E$3:$E$202,"Used")-SUMIFS('Chemical Usage Log'!$F$3:$F$202,'Chemical Usage Log'!$C$3:$C$202,A133,'Chemical Usage Log'!$E$3:$E$202,"Disposed")+SUMIFS('Chemical Usage Log'!$F$3:$F$202,'Chemical Usage Log'!$C$3:$C$202,A133,'Chemical Usage Log'!$E$3:$E$202,"Adjusted"))</f>
        <v/>
      </c>
      <c r="K133" s="19"/>
      <c r="L133" s="16"/>
      <c r="M133" s="16"/>
      <c r="N133" s="22" t="str">
        <f t="shared" ca="1" si="12"/>
        <v/>
      </c>
      <c r="O133" s="6" t="str">
        <f t="shared" si="13"/>
        <v/>
      </c>
      <c r="P133" s="6" t="str">
        <f t="shared" ca="1" si="14"/>
        <v/>
      </c>
      <c r="Q133" s="6"/>
      <c r="R133" s="6"/>
      <c r="S133" s="16"/>
      <c r="T133" s="11"/>
    </row>
    <row r="134" spans="1:20">
      <c r="A134" s="10"/>
      <c r="B134" s="6"/>
      <c r="C134" s="6"/>
      <c r="D134" s="6"/>
      <c r="E134" s="6"/>
      <c r="F134" s="6"/>
      <c r="G134" s="6"/>
      <c r="H134" s="6"/>
      <c r="I134" s="19"/>
      <c r="J134" s="19" t="str">
        <f>IF(A134="","",I134+SUMIFS('Chemical Usage Log'!$F$3:$F$202,'Chemical Usage Log'!$C$3:$C$202,A134,'Chemical Usage Log'!$E$3:$E$202,"Received")-SUMIFS('Chemical Usage Log'!$F$3:$F$202,'Chemical Usage Log'!$C$3:$C$202,A134,'Chemical Usage Log'!$E$3:$E$202,"Used")-SUMIFS('Chemical Usage Log'!$F$3:$F$202,'Chemical Usage Log'!$C$3:$C$202,A134,'Chemical Usage Log'!$E$3:$E$202,"Disposed")+SUMIFS('Chemical Usage Log'!$F$3:$F$202,'Chemical Usage Log'!$C$3:$C$202,A134,'Chemical Usage Log'!$E$3:$E$202,"Adjusted"))</f>
        <v/>
      </c>
      <c r="K134" s="19"/>
      <c r="L134" s="16"/>
      <c r="M134" s="16"/>
      <c r="N134" s="22" t="str">
        <f t="shared" ca="1" si="12"/>
        <v/>
      </c>
      <c r="O134" s="6" t="str">
        <f t="shared" si="13"/>
        <v/>
      </c>
      <c r="P134" s="6" t="str">
        <f t="shared" ca="1" si="14"/>
        <v/>
      </c>
      <c r="Q134" s="6"/>
      <c r="R134" s="6"/>
      <c r="S134" s="16"/>
      <c r="T134" s="11"/>
    </row>
    <row r="135" spans="1:20">
      <c r="A135" s="10"/>
      <c r="B135" s="6"/>
      <c r="C135" s="6"/>
      <c r="D135" s="6"/>
      <c r="E135" s="6"/>
      <c r="F135" s="6"/>
      <c r="G135" s="6"/>
      <c r="H135" s="6"/>
      <c r="I135" s="19"/>
      <c r="J135" s="19" t="str">
        <f>IF(A135="","",I135+SUMIFS('Chemical Usage Log'!$F$3:$F$202,'Chemical Usage Log'!$C$3:$C$202,A135,'Chemical Usage Log'!$E$3:$E$202,"Received")-SUMIFS('Chemical Usage Log'!$F$3:$F$202,'Chemical Usage Log'!$C$3:$C$202,A135,'Chemical Usage Log'!$E$3:$E$202,"Used")-SUMIFS('Chemical Usage Log'!$F$3:$F$202,'Chemical Usage Log'!$C$3:$C$202,A135,'Chemical Usage Log'!$E$3:$E$202,"Disposed")+SUMIFS('Chemical Usage Log'!$F$3:$F$202,'Chemical Usage Log'!$C$3:$C$202,A135,'Chemical Usage Log'!$E$3:$E$202,"Adjusted"))</f>
        <v/>
      </c>
      <c r="K135" s="19"/>
      <c r="L135" s="16"/>
      <c r="M135" s="16"/>
      <c r="N135" s="22" t="str">
        <f t="shared" ca="1" si="12"/>
        <v/>
      </c>
      <c r="O135" s="6" t="str">
        <f t="shared" si="13"/>
        <v/>
      </c>
      <c r="P135" s="6" t="str">
        <f t="shared" ca="1" si="14"/>
        <v/>
      </c>
      <c r="Q135" s="6"/>
      <c r="R135" s="6"/>
      <c r="S135" s="16"/>
      <c r="T135" s="11"/>
    </row>
    <row r="136" spans="1:20">
      <c r="A136" s="10"/>
      <c r="B136" s="6"/>
      <c r="C136" s="6"/>
      <c r="D136" s="6"/>
      <c r="E136" s="6"/>
      <c r="F136" s="6"/>
      <c r="G136" s="6"/>
      <c r="H136" s="6"/>
      <c r="I136" s="19"/>
      <c r="J136" s="19" t="str">
        <f>IF(A136="","",I136+SUMIFS('Chemical Usage Log'!$F$3:$F$202,'Chemical Usage Log'!$C$3:$C$202,A136,'Chemical Usage Log'!$E$3:$E$202,"Received")-SUMIFS('Chemical Usage Log'!$F$3:$F$202,'Chemical Usage Log'!$C$3:$C$202,A136,'Chemical Usage Log'!$E$3:$E$202,"Used")-SUMIFS('Chemical Usage Log'!$F$3:$F$202,'Chemical Usage Log'!$C$3:$C$202,A136,'Chemical Usage Log'!$E$3:$E$202,"Disposed")+SUMIFS('Chemical Usage Log'!$F$3:$F$202,'Chemical Usage Log'!$C$3:$C$202,A136,'Chemical Usage Log'!$E$3:$E$202,"Adjusted"))</f>
        <v/>
      </c>
      <c r="K136" s="19"/>
      <c r="L136" s="16"/>
      <c r="M136" s="16"/>
      <c r="N136" s="22" t="str">
        <f t="shared" ca="1" si="12"/>
        <v/>
      </c>
      <c r="O136" s="6" t="str">
        <f t="shared" si="13"/>
        <v/>
      </c>
      <c r="P136" s="6" t="str">
        <f t="shared" ca="1" si="14"/>
        <v/>
      </c>
      <c r="Q136" s="6"/>
      <c r="R136" s="6"/>
      <c r="S136" s="16"/>
      <c r="T136" s="11"/>
    </row>
    <row r="137" spans="1:20">
      <c r="A137" s="10"/>
      <c r="B137" s="6"/>
      <c r="C137" s="6"/>
      <c r="D137" s="6"/>
      <c r="E137" s="6"/>
      <c r="F137" s="6"/>
      <c r="G137" s="6"/>
      <c r="H137" s="6"/>
      <c r="I137" s="19"/>
      <c r="J137" s="19" t="str">
        <f>IF(A137="","",I137+SUMIFS('Chemical Usage Log'!$F$3:$F$202,'Chemical Usage Log'!$C$3:$C$202,A137,'Chemical Usage Log'!$E$3:$E$202,"Received")-SUMIFS('Chemical Usage Log'!$F$3:$F$202,'Chemical Usage Log'!$C$3:$C$202,A137,'Chemical Usage Log'!$E$3:$E$202,"Used")-SUMIFS('Chemical Usage Log'!$F$3:$F$202,'Chemical Usage Log'!$C$3:$C$202,A137,'Chemical Usage Log'!$E$3:$E$202,"Disposed")+SUMIFS('Chemical Usage Log'!$F$3:$F$202,'Chemical Usage Log'!$C$3:$C$202,A137,'Chemical Usage Log'!$E$3:$E$202,"Adjusted"))</f>
        <v/>
      </c>
      <c r="K137" s="19"/>
      <c r="L137" s="16"/>
      <c r="M137" s="16"/>
      <c r="N137" s="22" t="str">
        <f t="shared" ca="1" si="12"/>
        <v/>
      </c>
      <c r="O137" s="6" t="str">
        <f t="shared" si="13"/>
        <v/>
      </c>
      <c r="P137" s="6" t="str">
        <f t="shared" ca="1" si="14"/>
        <v/>
      </c>
      <c r="Q137" s="6"/>
      <c r="R137" s="6"/>
      <c r="S137" s="16"/>
      <c r="T137" s="11"/>
    </row>
    <row r="138" spans="1:20">
      <c r="A138" s="10"/>
      <c r="B138" s="6"/>
      <c r="C138" s="6"/>
      <c r="D138" s="6"/>
      <c r="E138" s="6"/>
      <c r="F138" s="6"/>
      <c r="G138" s="6"/>
      <c r="H138" s="6"/>
      <c r="I138" s="19"/>
      <c r="J138" s="19" t="str">
        <f>IF(A138="","",I138+SUMIFS('Chemical Usage Log'!$F$3:$F$202,'Chemical Usage Log'!$C$3:$C$202,A138,'Chemical Usage Log'!$E$3:$E$202,"Received")-SUMIFS('Chemical Usage Log'!$F$3:$F$202,'Chemical Usage Log'!$C$3:$C$202,A138,'Chemical Usage Log'!$E$3:$E$202,"Used")-SUMIFS('Chemical Usage Log'!$F$3:$F$202,'Chemical Usage Log'!$C$3:$C$202,A138,'Chemical Usage Log'!$E$3:$E$202,"Disposed")+SUMIFS('Chemical Usage Log'!$F$3:$F$202,'Chemical Usage Log'!$C$3:$C$202,A138,'Chemical Usage Log'!$E$3:$E$202,"Adjusted"))</f>
        <v/>
      </c>
      <c r="K138" s="19"/>
      <c r="L138" s="16"/>
      <c r="M138" s="16"/>
      <c r="N138" s="22" t="str">
        <f t="shared" ca="1" si="12"/>
        <v/>
      </c>
      <c r="O138" s="6" t="str">
        <f t="shared" si="13"/>
        <v/>
      </c>
      <c r="P138" s="6" t="str">
        <f t="shared" ca="1" si="14"/>
        <v/>
      </c>
      <c r="Q138" s="6"/>
      <c r="R138" s="6"/>
      <c r="S138" s="16"/>
      <c r="T138" s="11"/>
    </row>
    <row r="139" spans="1:20">
      <c r="A139" s="10"/>
      <c r="B139" s="6"/>
      <c r="C139" s="6"/>
      <c r="D139" s="6"/>
      <c r="E139" s="6"/>
      <c r="F139" s="6"/>
      <c r="G139" s="6"/>
      <c r="H139" s="6"/>
      <c r="I139" s="19"/>
      <c r="J139" s="19" t="str">
        <f>IF(A139="","",I139+SUMIFS('Chemical Usage Log'!$F$3:$F$202,'Chemical Usage Log'!$C$3:$C$202,A139,'Chemical Usage Log'!$E$3:$E$202,"Received")-SUMIFS('Chemical Usage Log'!$F$3:$F$202,'Chemical Usage Log'!$C$3:$C$202,A139,'Chemical Usage Log'!$E$3:$E$202,"Used")-SUMIFS('Chemical Usage Log'!$F$3:$F$202,'Chemical Usage Log'!$C$3:$C$202,A139,'Chemical Usage Log'!$E$3:$E$202,"Disposed")+SUMIFS('Chemical Usage Log'!$F$3:$F$202,'Chemical Usage Log'!$C$3:$C$202,A139,'Chemical Usage Log'!$E$3:$E$202,"Adjusted"))</f>
        <v/>
      </c>
      <c r="K139" s="19"/>
      <c r="L139" s="16"/>
      <c r="M139" s="16"/>
      <c r="N139" s="22" t="str">
        <f t="shared" ca="1" si="12"/>
        <v/>
      </c>
      <c r="O139" s="6" t="str">
        <f t="shared" si="13"/>
        <v/>
      </c>
      <c r="P139" s="6" t="str">
        <f t="shared" ca="1" si="14"/>
        <v/>
      </c>
      <c r="Q139" s="6"/>
      <c r="R139" s="6"/>
      <c r="S139" s="16"/>
      <c r="T139" s="11"/>
    </row>
    <row r="140" spans="1:20">
      <c r="A140" s="10"/>
      <c r="B140" s="6"/>
      <c r="C140" s="6"/>
      <c r="D140" s="6"/>
      <c r="E140" s="6"/>
      <c r="F140" s="6"/>
      <c r="G140" s="6"/>
      <c r="H140" s="6"/>
      <c r="I140" s="19"/>
      <c r="J140" s="19" t="str">
        <f>IF(A140="","",I140+SUMIFS('Chemical Usage Log'!$F$3:$F$202,'Chemical Usage Log'!$C$3:$C$202,A140,'Chemical Usage Log'!$E$3:$E$202,"Received")-SUMIFS('Chemical Usage Log'!$F$3:$F$202,'Chemical Usage Log'!$C$3:$C$202,A140,'Chemical Usage Log'!$E$3:$E$202,"Used")-SUMIFS('Chemical Usage Log'!$F$3:$F$202,'Chemical Usage Log'!$C$3:$C$202,A140,'Chemical Usage Log'!$E$3:$E$202,"Disposed")+SUMIFS('Chemical Usage Log'!$F$3:$F$202,'Chemical Usage Log'!$C$3:$C$202,A140,'Chemical Usage Log'!$E$3:$E$202,"Adjusted"))</f>
        <v/>
      </c>
      <c r="K140" s="19"/>
      <c r="L140" s="16"/>
      <c r="M140" s="16"/>
      <c r="N140" s="22" t="str">
        <f t="shared" ca="1" si="12"/>
        <v/>
      </c>
      <c r="O140" s="6" t="str">
        <f t="shared" si="13"/>
        <v/>
      </c>
      <c r="P140" s="6" t="str">
        <f t="shared" ca="1" si="14"/>
        <v/>
      </c>
      <c r="Q140" s="6"/>
      <c r="R140" s="6"/>
      <c r="S140" s="16"/>
      <c r="T140" s="11"/>
    </row>
    <row r="141" spans="1:20">
      <c r="A141" s="10"/>
      <c r="B141" s="6"/>
      <c r="C141" s="6"/>
      <c r="D141" s="6"/>
      <c r="E141" s="6"/>
      <c r="F141" s="6"/>
      <c r="G141" s="6"/>
      <c r="H141" s="6"/>
      <c r="I141" s="19"/>
      <c r="J141" s="19" t="str">
        <f>IF(A141="","",I141+SUMIFS('Chemical Usage Log'!$F$3:$F$202,'Chemical Usage Log'!$C$3:$C$202,A141,'Chemical Usage Log'!$E$3:$E$202,"Received")-SUMIFS('Chemical Usage Log'!$F$3:$F$202,'Chemical Usage Log'!$C$3:$C$202,A141,'Chemical Usage Log'!$E$3:$E$202,"Used")-SUMIFS('Chemical Usage Log'!$F$3:$F$202,'Chemical Usage Log'!$C$3:$C$202,A141,'Chemical Usage Log'!$E$3:$E$202,"Disposed")+SUMIFS('Chemical Usage Log'!$F$3:$F$202,'Chemical Usage Log'!$C$3:$C$202,A141,'Chemical Usage Log'!$E$3:$E$202,"Adjusted"))</f>
        <v/>
      </c>
      <c r="K141" s="19"/>
      <c r="L141" s="16"/>
      <c r="M141" s="16"/>
      <c r="N141" s="22" t="str">
        <f t="shared" ca="1" si="12"/>
        <v/>
      </c>
      <c r="O141" s="6" t="str">
        <f t="shared" si="13"/>
        <v/>
      </c>
      <c r="P141" s="6" t="str">
        <f t="shared" ca="1" si="14"/>
        <v/>
      </c>
      <c r="Q141" s="6"/>
      <c r="R141" s="6"/>
      <c r="S141" s="16"/>
      <c r="T141" s="11"/>
    </row>
    <row r="142" spans="1:20">
      <c r="A142" s="10"/>
      <c r="B142" s="6"/>
      <c r="C142" s="6"/>
      <c r="D142" s="6"/>
      <c r="E142" s="6"/>
      <c r="F142" s="6"/>
      <c r="G142" s="6"/>
      <c r="H142" s="6"/>
      <c r="I142" s="19"/>
      <c r="J142" s="19" t="str">
        <f>IF(A142="","",I142+SUMIFS('Chemical Usage Log'!$F$3:$F$202,'Chemical Usage Log'!$C$3:$C$202,A142,'Chemical Usage Log'!$E$3:$E$202,"Received")-SUMIFS('Chemical Usage Log'!$F$3:$F$202,'Chemical Usage Log'!$C$3:$C$202,A142,'Chemical Usage Log'!$E$3:$E$202,"Used")-SUMIFS('Chemical Usage Log'!$F$3:$F$202,'Chemical Usage Log'!$C$3:$C$202,A142,'Chemical Usage Log'!$E$3:$E$202,"Disposed")+SUMIFS('Chemical Usage Log'!$F$3:$F$202,'Chemical Usage Log'!$C$3:$C$202,A142,'Chemical Usage Log'!$E$3:$E$202,"Adjusted"))</f>
        <v/>
      </c>
      <c r="K142" s="19"/>
      <c r="L142" s="16"/>
      <c r="M142" s="16"/>
      <c r="N142" s="22" t="str">
        <f t="shared" ca="1" si="12"/>
        <v/>
      </c>
      <c r="O142" s="6" t="str">
        <f t="shared" si="13"/>
        <v/>
      </c>
      <c r="P142" s="6" t="str">
        <f t="shared" ca="1" si="14"/>
        <v/>
      </c>
      <c r="Q142" s="6"/>
      <c r="R142" s="6"/>
      <c r="S142" s="16"/>
      <c r="T142" s="11"/>
    </row>
    <row r="143" spans="1:20">
      <c r="A143" s="10"/>
      <c r="B143" s="6"/>
      <c r="C143" s="6"/>
      <c r="D143" s="6"/>
      <c r="E143" s="6"/>
      <c r="F143" s="6"/>
      <c r="G143" s="6"/>
      <c r="H143" s="6"/>
      <c r="I143" s="19"/>
      <c r="J143" s="19" t="str">
        <f>IF(A143="","",I143+SUMIFS('Chemical Usage Log'!$F$3:$F$202,'Chemical Usage Log'!$C$3:$C$202,A143,'Chemical Usage Log'!$E$3:$E$202,"Received")-SUMIFS('Chemical Usage Log'!$F$3:$F$202,'Chemical Usage Log'!$C$3:$C$202,A143,'Chemical Usage Log'!$E$3:$E$202,"Used")-SUMIFS('Chemical Usage Log'!$F$3:$F$202,'Chemical Usage Log'!$C$3:$C$202,A143,'Chemical Usage Log'!$E$3:$E$202,"Disposed")+SUMIFS('Chemical Usage Log'!$F$3:$F$202,'Chemical Usage Log'!$C$3:$C$202,A143,'Chemical Usage Log'!$E$3:$E$202,"Adjusted"))</f>
        <v/>
      </c>
      <c r="K143" s="19"/>
      <c r="L143" s="16"/>
      <c r="M143" s="16"/>
      <c r="N143" s="22" t="str">
        <f t="shared" ca="1" si="12"/>
        <v/>
      </c>
      <c r="O143" s="6" t="str">
        <f t="shared" si="13"/>
        <v/>
      </c>
      <c r="P143" s="6" t="str">
        <f t="shared" ca="1" si="14"/>
        <v/>
      </c>
      <c r="Q143" s="6"/>
      <c r="R143" s="6"/>
      <c r="S143" s="16"/>
      <c r="T143" s="11"/>
    </row>
    <row r="144" spans="1:20">
      <c r="A144" s="10"/>
      <c r="B144" s="6"/>
      <c r="C144" s="6"/>
      <c r="D144" s="6"/>
      <c r="E144" s="6"/>
      <c r="F144" s="6"/>
      <c r="G144" s="6"/>
      <c r="H144" s="6"/>
      <c r="I144" s="19"/>
      <c r="J144" s="19" t="str">
        <f>IF(A144="","",I144+SUMIFS('Chemical Usage Log'!$F$3:$F$202,'Chemical Usage Log'!$C$3:$C$202,A144,'Chemical Usage Log'!$E$3:$E$202,"Received")-SUMIFS('Chemical Usage Log'!$F$3:$F$202,'Chemical Usage Log'!$C$3:$C$202,A144,'Chemical Usage Log'!$E$3:$E$202,"Used")-SUMIFS('Chemical Usage Log'!$F$3:$F$202,'Chemical Usage Log'!$C$3:$C$202,A144,'Chemical Usage Log'!$E$3:$E$202,"Disposed")+SUMIFS('Chemical Usage Log'!$F$3:$F$202,'Chemical Usage Log'!$C$3:$C$202,A144,'Chemical Usage Log'!$E$3:$E$202,"Adjusted"))</f>
        <v/>
      </c>
      <c r="K144" s="19"/>
      <c r="L144" s="16"/>
      <c r="M144" s="16"/>
      <c r="N144" s="22" t="str">
        <f t="shared" ca="1" si="12"/>
        <v/>
      </c>
      <c r="O144" s="6" t="str">
        <f t="shared" si="13"/>
        <v/>
      </c>
      <c r="P144" s="6" t="str">
        <f t="shared" ca="1" si="14"/>
        <v/>
      </c>
      <c r="Q144" s="6"/>
      <c r="R144" s="6"/>
      <c r="S144" s="16"/>
      <c r="T144" s="11"/>
    </row>
    <row r="145" spans="1:20">
      <c r="A145" s="10"/>
      <c r="B145" s="6"/>
      <c r="C145" s="6"/>
      <c r="D145" s="6"/>
      <c r="E145" s="6"/>
      <c r="F145" s="6"/>
      <c r="G145" s="6"/>
      <c r="H145" s="6"/>
      <c r="I145" s="19"/>
      <c r="J145" s="19" t="str">
        <f>IF(A145="","",I145+SUMIFS('Chemical Usage Log'!$F$3:$F$202,'Chemical Usage Log'!$C$3:$C$202,A145,'Chemical Usage Log'!$E$3:$E$202,"Received")-SUMIFS('Chemical Usage Log'!$F$3:$F$202,'Chemical Usage Log'!$C$3:$C$202,A145,'Chemical Usage Log'!$E$3:$E$202,"Used")-SUMIFS('Chemical Usage Log'!$F$3:$F$202,'Chemical Usage Log'!$C$3:$C$202,A145,'Chemical Usage Log'!$E$3:$E$202,"Disposed")+SUMIFS('Chemical Usage Log'!$F$3:$F$202,'Chemical Usage Log'!$C$3:$C$202,A145,'Chemical Usage Log'!$E$3:$E$202,"Adjusted"))</f>
        <v/>
      </c>
      <c r="K145" s="19"/>
      <c r="L145" s="16"/>
      <c r="M145" s="16"/>
      <c r="N145" s="22" t="str">
        <f t="shared" ca="1" si="12"/>
        <v/>
      </c>
      <c r="O145" s="6" t="str">
        <f t="shared" si="13"/>
        <v/>
      </c>
      <c r="P145" s="6" t="str">
        <f t="shared" ca="1" si="14"/>
        <v/>
      </c>
      <c r="Q145" s="6"/>
      <c r="R145" s="6"/>
      <c r="S145" s="16"/>
      <c r="T145" s="11"/>
    </row>
    <row r="146" spans="1:20">
      <c r="A146" s="10"/>
      <c r="B146" s="6"/>
      <c r="C146" s="6"/>
      <c r="D146" s="6"/>
      <c r="E146" s="6"/>
      <c r="F146" s="6"/>
      <c r="G146" s="6"/>
      <c r="H146" s="6"/>
      <c r="I146" s="19"/>
      <c r="J146" s="19" t="str">
        <f>IF(A146="","",I146+SUMIFS('Chemical Usage Log'!$F$3:$F$202,'Chemical Usage Log'!$C$3:$C$202,A146,'Chemical Usage Log'!$E$3:$E$202,"Received")-SUMIFS('Chemical Usage Log'!$F$3:$F$202,'Chemical Usage Log'!$C$3:$C$202,A146,'Chemical Usage Log'!$E$3:$E$202,"Used")-SUMIFS('Chemical Usage Log'!$F$3:$F$202,'Chemical Usage Log'!$C$3:$C$202,A146,'Chemical Usage Log'!$E$3:$E$202,"Disposed")+SUMIFS('Chemical Usage Log'!$F$3:$F$202,'Chemical Usage Log'!$C$3:$C$202,A146,'Chemical Usage Log'!$E$3:$E$202,"Adjusted"))</f>
        <v/>
      </c>
      <c r="K146" s="19"/>
      <c r="L146" s="16"/>
      <c r="M146" s="16"/>
      <c r="N146" s="22" t="str">
        <f t="shared" ca="1" si="12"/>
        <v/>
      </c>
      <c r="O146" s="6" t="str">
        <f t="shared" si="13"/>
        <v/>
      </c>
      <c r="P146" s="6" t="str">
        <f t="shared" ca="1" si="14"/>
        <v/>
      </c>
      <c r="Q146" s="6"/>
      <c r="R146" s="6"/>
      <c r="S146" s="16"/>
      <c r="T146" s="11"/>
    </row>
    <row r="147" spans="1:20">
      <c r="A147" s="10"/>
      <c r="B147" s="6"/>
      <c r="C147" s="6"/>
      <c r="D147" s="6"/>
      <c r="E147" s="6"/>
      <c r="F147" s="6"/>
      <c r="G147" s="6"/>
      <c r="H147" s="6"/>
      <c r="I147" s="19"/>
      <c r="J147" s="19" t="str">
        <f>IF(A147="","",I147+SUMIFS('Chemical Usage Log'!$F$3:$F$202,'Chemical Usage Log'!$C$3:$C$202,A147,'Chemical Usage Log'!$E$3:$E$202,"Received")-SUMIFS('Chemical Usage Log'!$F$3:$F$202,'Chemical Usage Log'!$C$3:$C$202,A147,'Chemical Usage Log'!$E$3:$E$202,"Used")-SUMIFS('Chemical Usage Log'!$F$3:$F$202,'Chemical Usage Log'!$C$3:$C$202,A147,'Chemical Usage Log'!$E$3:$E$202,"Disposed")+SUMIFS('Chemical Usage Log'!$F$3:$F$202,'Chemical Usage Log'!$C$3:$C$202,A147,'Chemical Usage Log'!$E$3:$E$202,"Adjusted"))</f>
        <v/>
      </c>
      <c r="K147" s="19"/>
      <c r="L147" s="16"/>
      <c r="M147" s="16"/>
      <c r="N147" s="22" t="str">
        <f t="shared" ca="1" si="12"/>
        <v/>
      </c>
      <c r="O147" s="6" t="str">
        <f t="shared" si="13"/>
        <v/>
      </c>
      <c r="P147" s="6" t="str">
        <f t="shared" ca="1" si="14"/>
        <v/>
      </c>
      <c r="Q147" s="6"/>
      <c r="R147" s="6"/>
      <c r="S147" s="16"/>
      <c r="T147" s="11"/>
    </row>
    <row r="148" spans="1:20">
      <c r="A148" s="10"/>
      <c r="B148" s="6"/>
      <c r="C148" s="6"/>
      <c r="D148" s="6"/>
      <c r="E148" s="6"/>
      <c r="F148" s="6"/>
      <c r="G148" s="6"/>
      <c r="H148" s="6"/>
      <c r="I148" s="19"/>
      <c r="J148" s="19" t="str">
        <f>IF(A148="","",I148+SUMIFS('Chemical Usage Log'!$F$3:$F$202,'Chemical Usage Log'!$C$3:$C$202,A148,'Chemical Usage Log'!$E$3:$E$202,"Received")-SUMIFS('Chemical Usage Log'!$F$3:$F$202,'Chemical Usage Log'!$C$3:$C$202,A148,'Chemical Usage Log'!$E$3:$E$202,"Used")-SUMIFS('Chemical Usage Log'!$F$3:$F$202,'Chemical Usage Log'!$C$3:$C$202,A148,'Chemical Usage Log'!$E$3:$E$202,"Disposed")+SUMIFS('Chemical Usage Log'!$F$3:$F$202,'Chemical Usage Log'!$C$3:$C$202,A148,'Chemical Usage Log'!$E$3:$E$202,"Adjusted"))</f>
        <v/>
      </c>
      <c r="K148" s="19"/>
      <c r="L148" s="16"/>
      <c r="M148" s="16"/>
      <c r="N148" s="22" t="str">
        <f t="shared" ca="1" si="12"/>
        <v/>
      </c>
      <c r="O148" s="6" t="str">
        <f t="shared" si="13"/>
        <v/>
      </c>
      <c r="P148" s="6" t="str">
        <f t="shared" ca="1" si="14"/>
        <v/>
      </c>
      <c r="Q148" s="6"/>
      <c r="R148" s="6"/>
      <c r="S148" s="16"/>
      <c r="T148" s="11"/>
    </row>
    <row r="149" spans="1:20">
      <c r="A149" s="10"/>
      <c r="B149" s="6"/>
      <c r="C149" s="6"/>
      <c r="D149" s="6"/>
      <c r="E149" s="6"/>
      <c r="F149" s="6"/>
      <c r="G149" s="6"/>
      <c r="H149" s="6"/>
      <c r="I149" s="19"/>
      <c r="J149" s="19" t="str">
        <f>IF(A149="","",I149+SUMIFS('Chemical Usage Log'!$F$3:$F$202,'Chemical Usage Log'!$C$3:$C$202,A149,'Chemical Usage Log'!$E$3:$E$202,"Received")-SUMIFS('Chemical Usage Log'!$F$3:$F$202,'Chemical Usage Log'!$C$3:$C$202,A149,'Chemical Usage Log'!$E$3:$E$202,"Used")-SUMIFS('Chemical Usage Log'!$F$3:$F$202,'Chemical Usage Log'!$C$3:$C$202,A149,'Chemical Usage Log'!$E$3:$E$202,"Disposed")+SUMIFS('Chemical Usage Log'!$F$3:$F$202,'Chemical Usage Log'!$C$3:$C$202,A149,'Chemical Usage Log'!$E$3:$E$202,"Adjusted"))</f>
        <v/>
      </c>
      <c r="K149" s="19"/>
      <c r="L149" s="16"/>
      <c r="M149" s="16"/>
      <c r="N149" s="22" t="str">
        <f t="shared" ca="1" si="12"/>
        <v/>
      </c>
      <c r="O149" s="6" t="str">
        <f t="shared" si="13"/>
        <v/>
      </c>
      <c r="P149" s="6" t="str">
        <f t="shared" ca="1" si="14"/>
        <v/>
      </c>
      <c r="Q149" s="6"/>
      <c r="R149" s="6"/>
      <c r="S149" s="16"/>
      <c r="T149" s="11"/>
    </row>
    <row r="150" spans="1:20">
      <c r="A150" s="10"/>
      <c r="B150" s="6"/>
      <c r="C150" s="6"/>
      <c r="D150" s="6"/>
      <c r="E150" s="6"/>
      <c r="F150" s="6"/>
      <c r="G150" s="6"/>
      <c r="H150" s="6"/>
      <c r="I150" s="19"/>
      <c r="J150" s="19" t="str">
        <f>IF(A150="","",I150+SUMIFS('Chemical Usage Log'!$F$3:$F$202,'Chemical Usage Log'!$C$3:$C$202,A150,'Chemical Usage Log'!$E$3:$E$202,"Received")-SUMIFS('Chemical Usage Log'!$F$3:$F$202,'Chemical Usage Log'!$C$3:$C$202,A150,'Chemical Usage Log'!$E$3:$E$202,"Used")-SUMIFS('Chemical Usage Log'!$F$3:$F$202,'Chemical Usage Log'!$C$3:$C$202,A150,'Chemical Usage Log'!$E$3:$E$202,"Disposed")+SUMIFS('Chemical Usage Log'!$F$3:$F$202,'Chemical Usage Log'!$C$3:$C$202,A150,'Chemical Usage Log'!$E$3:$E$202,"Adjusted"))</f>
        <v/>
      </c>
      <c r="K150" s="19"/>
      <c r="L150" s="16"/>
      <c r="M150" s="16"/>
      <c r="N150" s="22" t="str">
        <f t="shared" ca="1" si="12"/>
        <v/>
      </c>
      <c r="O150" s="6" t="str">
        <f t="shared" si="13"/>
        <v/>
      </c>
      <c r="P150" s="6" t="str">
        <f t="shared" ca="1" si="14"/>
        <v/>
      </c>
      <c r="Q150" s="6"/>
      <c r="R150" s="6"/>
      <c r="S150" s="16"/>
      <c r="T150" s="11"/>
    </row>
    <row r="151" spans="1:20">
      <c r="A151" s="10"/>
      <c r="B151" s="6"/>
      <c r="C151" s="6"/>
      <c r="D151" s="6"/>
      <c r="E151" s="6"/>
      <c r="F151" s="6"/>
      <c r="G151" s="6"/>
      <c r="H151" s="6"/>
      <c r="I151" s="19"/>
      <c r="J151" s="19" t="str">
        <f>IF(A151="","",I151+SUMIFS('Chemical Usage Log'!$F$3:$F$202,'Chemical Usage Log'!$C$3:$C$202,A151,'Chemical Usage Log'!$E$3:$E$202,"Received")-SUMIFS('Chemical Usage Log'!$F$3:$F$202,'Chemical Usage Log'!$C$3:$C$202,A151,'Chemical Usage Log'!$E$3:$E$202,"Used")-SUMIFS('Chemical Usage Log'!$F$3:$F$202,'Chemical Usage Log'!$C$3:$C$202,A151,'Chemical Usage Log'!$E$3:$E$202,"Disposed")+SUMIFS('Chemical Usage Log'!$F$3:$F$202,'Chemical Usage Log'!$C$3:$C$202,A151,'Chemical Usage Log'!$E$3:$E$202,"Adjusted"))</f>
        <v/>
      </c>
      <c r="K151" s="19"/>
      <c r="L151" s="16"/>
      <c r="M151" s="16"/>
      <c r="N151" s="22" t="str">
        <f t="shared" ca="1" si="12"/>
        <v/>
      </c>
      <c r="O151" s="6" t="str">
        <f t="shared" si="13"/>
        <v/>
      </c>
      <c r="P151" s="6" t="str">
        <f t="shared" ca="1" si="14"/>
        <v/>
      </c>
      <c r="Q151" s="6"/>
      <c r="R151" s="6"/>
      <c r="S151" s="16"/>
      <c r="T151" s="11"/>
    </row>
    <row r="152" spans="1:20">
      <c r="A152" s="10"/>
      <c r="B152" s="6"/>
      <c r="C152" s="6"/>
      <c r="D152" s="6"/>
      <c r="E152" s="6"/>
      <c r="F152" s="6"/>
      <c r="G152" s="6"/>
      <c r="H152" s="6"/>
      <c r="I152" s="19"/>
      <c r="J152" s="19" t="str">
        <f>IF(A152="","",I152+SUMIFS('Chemical Usage Log'!$F$3:$F$202,'Chemical Usage Log'!$C$3:$C$202,A152,'Chemical Usage Log'!$E$3:$E$202,"Received")-SUMIFS('Chemical Usage Log'!$F$3:$F$202,'Chemical Usage Log'!$C$3:$C$202,A152,'Chemical Usage Log'!$E$3:$E$202,"Used")-SUMIFS('Chemical Usage Log'!$F$3:$F$202,'Chemical Usage Log'!$C$3:$C$202,A152,'Chemical Usage Log'!$E$3:$E$202,"Disposed")+SUMIFS('Chemical Usage Log'!$F$3:$F$202,'Chemical Usage Log'!$C$3:$C$202,A152,'Chemical Usage Log'!$E$3:$E$202,"Adjusted"))</f>
        <v/>
      </c>
      <c r="K152" s="19"/>
      <c r="L152" s="16"/>
      <c r="M152" s="16"/>
      <c r="N152" s="22" t="str">
        <f t="shared" ca="1" si="12"/>
        <v/>
      </c>
      <c r="O152" s="6" t="str">
        <f t="shared" si="13"/>
        <v/>
      </c>
      <c r="P152" s="6" t="str">
        <f t="shared" ca="1" si="14"/>
        <v/>
      </c>
      <c r="Q152" s="6"/>
      <c r="R152" s="6"/>
      <c r="S152" s="16"/>
      <c r="T152" s="11"/>
    </row>
    <row r="153" spans="1:20">
      <c r="A153" s="10"/>
      <c r="B153" s="6"/>
      <c r="C153" s="6"/>
      <c r="D153" s="6"/>
      <c r="E153" s="6"/>
      <c r="F153" s="6"/>
      <c r="G153" s="6"/>
      <c r="H153" s="6"/>
      <c r="I153" s="19"/>
      <c r="J153" s="19" t="str">
        <f>IF(A153="","",I153+SUMIFS('Chemical Usage Log'!$F$3:$F$202,'Chemical Usage Log'!$C$3:$C$202,A153,'Chemical Usage Log'!$E$3:$E$202,"Received")-SUMIFS('Chemical Usage Log'!$F$3:$F$202,'Chemical Usage Log'!$C$3:$C$202,A153,'Chemical Usage Log'!$E$3:$E$202,"Used")-SUMIFS('Chemical Usage Log'!$F$3:$F$202,'Chemical Usage Log'!$C$3:$C$202,A153,'Chemical Usage Log'!$E$3:$E$202,"Disposed")+SUMIFS('Chemical Usage Log'!$F$3:$F$202,'Chemical Usage Log'!$C$3:$C$202,A153,'Chemical Usage Log'!$E$3:$E$202,"Adjusted"))</f>
        <v/>
      </c>
      <c r="K153" s="19"/>
      <c r="L153" s="16"/>
      <c r="M153" s="16"/>
      <c r="N153" s="22" t="str">
        <f t="shared" ca="1" si="12"/>
        <v/>
      </c>
      <c r="O153" s="6" t="str">
        <f t="shared" si="13"/>
        <v/>
      </c>
      <c r="P153" s="6" t="str">
        <f t="shared" ca="1" si="14"/>
        <v/>
      </c>
      <c r="Q153" s="6"/>
      <c r="R153" s="6"/>
      <c r="S153" s="16"/>
      <c r="T153" s="11"/>
    </row>
    <row r="154" spans="1:20">
      <c r="A154" s="10"/>
      <c r="B154" s="6"/>
      <c r="C154" s="6"/>
      <c r="D154" s="6"/>
      <c r="E154" s="6"/>
      <c r="F154" s="6"/>
      <c r="G154" s="6"/>
      <c r="H154" s="6"/>
      <c r="I154" s="19"/>
      <c r="J154" s="19" t="str">
        <f>IF(A154="","",I154+SUMIFS('Chemical Usage Log'!$F$3:$F$202,'Chemical Usage Log'!$C$3:$C$202,A154,'Chemical Usage Log'!$E$3:$E$202,"Received")-SUMIFS('Chemical Usage Log'!$F$3:$F$202,'Chemical Usage Log'!$C$3:$C$202,A154,'Chemical Usage Log'!$E$3:$E$202,"Used")-SUMIFS('Chemical Usage Log'!$F$3:$F$202,'Chemical Usage Log'!$C$3:$C$202,A154,'Chemical Usage Log'!$E$3:$E$202,"Disposed")+SUMIFS('Chemical Usage Log'!$F$3:$F$202,'Chemical Usage Log'!$C$3:$C$202,A154,'Chemical Usage Log'!$E$3:$E$202,"Adjusted"))</f>
        <v/>
      </c>
      <c r="K154" s="19"/>
      <c r="L154" s="16"/>
      <c r="M154" s="16"/>
      <c r="N154" s="22" t="str">
        <f t="shared" ca="1" si="12"/>
        <v/>
      </c>
      <c r="O154" s="6" t="str">
        <f t="shared" si="13"/>
        <v/>
      </c>
      <c r="P154" s="6" t="str">
        <f t="shared" ca="1" si="14"/>
        <v/>
      </c>
      <c r="Q154" s="6"/>
      <c r="R154" s="6"/>
      <c r="S154" s="16"/>
      <c r="T154" s="11"/>
    </row>
    <row r="155" spans="1:20">
      <c r="A155" s="10"/>
      <c r="B155" s="6"/>
      <c r="C155" s="6"/>
      <c r="D155" s="6"/>
      <c r="E155" s="6"/>
      <c r="F155" s="6"/>
      <c r="G155" s="6"/>
      <c r="H155" s="6"/>
      <c r="I155" s="19"/>
      <c r="J155" s="19" t="str">
        <f>IF(A155="","",I155+SUMIFS('Chemical Usage Log'!$F$3:$F$202,'Chemical Usage Log'!$C$3:$C$202,A155,'Chemical Usage Log'!$E$3:$E$202,"Received")-SUMIFS('Chemical Usage Log'!$F$3:$F$202,'Chemical Usage Log'!$C$3:$C$202,A155,'Chemical Usage Log'!$E$3:$E$202,"Used")-SUMIFS('Chemical Usage Log'!$F$3:$F$202,'Chemical Usage Log'!$C$3:$C$202,A155,'Chemical Usage Log'!$E$3:$E$202,"Disposed")+SUMIFS('Chemical Usage Log'!$F$3:$F$202,'Chemical Usage Log'!$C$3:$C$202,A155,'Chemical Usage Log'!$E$3:$E$202,"Adjusted"))</f>
        <v/>
      </c>
      <c r="K155" s="19"/>
      <c r="L155" s="16"/>
      <c r="M155" s="16"/>
      <c r="N155" s="22" t="str">
        <f t="shared" ca="1" si="12"/>
        <v/>
      </c>
      <c r="O155" s="6" t="str">
        <f t="shared" si="13"/>
        <v/>
      </c>
      <c r="P155" s="6" t="str">
        <f t="shared" ca="1" si="14"/>
        <v/>
      </c>
      <c r="Q155" s="6"/>
      <c r="R155" s="6"/>
      <c r="S155" s="16"/>
      <c r="T155" s="11"/>
    </row>
    <row r="156" spans="1:20">
      <c r="A156" s="10"/>
      <c r="B156" s="6"/>
      <c r="C156" s="6"/>
      <c r="D156" s="6"/>
      <c r="E156" s="6"/>
      <c r="F156" s="6"/>
      <c r="G156" s="6"/>
      <c r="H156" s="6"/>
      <c r="I156" s="19"/>
      <c r="J156" s="19" t="str">
        <f>IF(A156="","",I156+SUMIFS('Chemical Usage Log'!$F$3:$F$202,'Chemical Usage Log'!$C$3:$C$202,A156,'Chemical Usage Log'!$E$3:$E$202,"Received")-SUMIFS('Chemical Usage Log'!$F$3:$F$202,'Chemical Usage Log'!$C$3:$C$202,A156,'Chemical Usage Log'!$E$3:$E$202,"Used")-SUMIFS('Chemical Usage Log'!$F$3:$F$202,'Chemical Usage Log'!$C$3:$C$202,A156,'Chemical Usage Log'!$E$3:$E$202,"Disposed")+SUMIFS('Chemical Usage Log'!$F$3:$F$202,'Chemical Usage Log'!$C$3:$C$202,A156,'Chemical Usage Log'!$E$3:$E$202,"Adjusted"))</f>
        <v/>
      </c>
      <c r="K156" s="19"/>
      <c r="L156" s="16"/>
      <c r="M156" s="16"/>
      <c r="N156" s="22" t="str">
        <f t="shared" ca="1" si="12"/>
        <v/>
      </c>
      <c r="O156" s="6" t="str">
        <f t="shared" si="13"/>
        <v/>
      </c>
      <c r="P156" s="6" t="str">
        <f t="shared" ca="1" si="14"/>
        <v/>
      </c>
      <c r="Q156" s="6"/>
      <c r="R156" s="6"/>
      <c r="S156" s="16"/>
      <c r="T156" s="11"/>
    </row>
    <row r="157" spans="1:20">
      <c r="A157" s="10"/>
      <c r="B157" s="6"/>
      <c r="C157" s="6"/>
      <c r="D157" s="6"/>
      <c r="E157" s="6"/>
      <c r="F157" s="6"/>
      <c r="G157" s="6"/>
      <c r="H157" s="6"/>
      <c r="I157" s="19"/>
      <c r="J157" s="19" t="str">
        <f>IF(A157="","",I157+SUMIFS('Chemical Usage Log'!$F$3:$F$202,'Chemical Usage Log'!$C$3:$C$202,A157,'Chemical Usage Log'!$E$3:$E$202,"Received")-SUMIFS('Chemical Usage Log'!$F$3:$F$202,'Chemical Usage Log'!$C$3:$C$202,A157,'Chemical Usage Log'!$E$3:$E$202,"Used")-SUMIFS('Chemical Usage Log'!$F$3:$F$202,'Chemical Usage Log'!$C$3:$C$202,A157,'Chemical Usage Log'!$E$3:$E$202,"Disposed")+SUMIFS('Chemical Usage Log'!$F$3:$F$202,'Chemical Usage Log'!$C$3:$C$202,A157,'Chemical Usage Log'!$E$3:$E$202,"Adjusted"))</f>
        <v/>
      </c>
      <c r="K157" s="19"/>
      <c r="L157" s="16"/>
      <c r="M157" s="16"/>
      <c r="N157" s="22" t="str">
        <f t="shared" ca="1" si="12"/>
        <v/>
      </c>
      <c r="O157" s="6" t="str">
        <f t="shared" si="13"/>
        <v/>
      </c>
      <c r="P157" s="6" t="str">
        <f t="shared" ca="1" si="14"/>
        <v/>
      </c>
      <c r="Q157" s="6"/>
      <c r="R157" s="6"/>
      <c r="S157" s="16"/>
      <c r="T157" s="11"/>
    </row>
    <row r="158" spans="1:20">
      <c r="A158" s="10"/>
      <c r="B158" s="6"/>
      <c r="C158" s="6"/>
      <c r="D158" s="6"/>
      <c r="E158" s="6"/>
      <c r="F158" s="6"/>
      <c r="G158" s="6"/>
      <c r="H158" s="6"/>
      <c r="I158" s="19"/>
      <c r="J158" s="19" t="str">
        <f>IF(A158="","",I158+SUMIFS('Chemical Usage Log'!$F$3:$F$202,'Chemical Usage Log'!$C$3:$C$202,A158,'Chemical Usage Log'!$E$3:$E$202,"Received")-SUMIFS('Chemical Usage Log'!$F$3:$F$202,'Chemical Usage Log'!$C$3:$C$202,A158,'Chemical Usage Log'!$E$3:$E$202,"Used")-SUMIFS('Chemical Usage Log'!$F$3:$F$202,'Chemical Usage Log'!$C$3:$C$202,A158,'Chemical Usage Log'!$E$3:$E$202,"Disposed")+SUMIFS('Chemical Usage Log'!$F$3:$F$202,'Chemical Usage Log'!$C$3:$C$202,A158,'Chemical Usage Log'!$E$3:$E$202,"Adjusted"))</f>
        <v/>
      </c>
      <c r="K158" s="19"/>
      <c r="L158" s="16"/>
      <c r="M158" s="16"/>
      <c r="N158" s="22" t="str">
        <f t="shared" ca="1" si="12"/>
        <v/>
      </c>
      <c r="O158" s="6" t="str">
        <f t="shared" si="13"/>
        <v/>
      </c>
      <c r="P158" s="6" t="str">
        <f t="shared" ca="1" si="14"/>
        <v/>
      </c>
      <c r="Q158" s="6"/>
      <c r="R158" s="6"/>
      <c r="S158" s="16"/>
      <c r="T158" s="11"/>
    </row>
    <row r="159" spans="1:20">
      <c r="A159" s="10"/>
      <c r="B159" s="6"/>
      <c r="C159" s="6"/>
      <c r="D159" s="6"/>
      <c r="E159" s="6"/>
      <c r="F159" s="6"/>
      <c r="G159" s="6"/>
      <c r="H159" s="6"/>
      <c r="I159" s="19"/>
      <c r="J159" s="19" t="str">
        <f>IF(A159="","",I159+SUMIFS('Chemical Usage Log'!$F$3:$F$202,'Chemical Usage Log'!$C$3:$C$202,A159,'Chemical Usage Log'!$E$3:$E$202,"Received")-SUMIFS('Chemical Usage Log'!$F$3:$F$202,'Chemical Usage Log'!$C$3:$C$202,A159,'Chemical Usage Log'!$E$3:$E$202,"Used")-SUMIFS('Chemical Usage Log'!$F$3:$F$202,'Chemical Usage Log'!$C$3:$C$202,A159,'Chemical Usage Log'!$E$3:$E$202,"Disposed")+SUMIFS('Chemical Usage Log'!$F$3:$F$202,'Chemical Usage Log'!$C$3:$C$202,A159,'Chemical Usage Log'!$E$3:$E$202,"Adjusted"))</f>
        <v/>
      </c>
      <c r="K159" s="19"/>
      <c r="L159" s="16"/>
      <c r="M159" s="16"/>
      <c r="N159" s="22" t="str">
        <f t="shared" ca="1" si="12"/>
        <v/>
      </c>
      <c r="O159" s="6" t="str">
        <f t="shared" si="13"/>
        <v/>
      </c>
      <c r="P159" s="6" t="str">
        <f t="shared" ca="1" si="14"/>
        <v/>
      </c>
      <c r="Q159" s="6"/>
      <c r="R159" s="6"/>
      <c r="S159" s="16"/>
      <c r="T159" s="11"/>
    </row>
    <row r="160" spans="1:20">
      <c r="A160" s="10"/>
      <c r="B160" s="6"/>
      <c r="C160" s="6"/>
      <c r="D160" s="6"/>
      <c r="E160" s="6"/>
      <c r="F160" s="6"/>
      <c r="G160" s="6"/>
      <c r="H160" s="6"/>
      <c r="I160" s="19"/>
      <c r="J160" s="19" t="str">
        <f>IF(A160="","",I160+SUMIFS('Chemical Usage Log'!$F$3:$F$202,'Chemical Usage Log'!$C$3:$C$202,A160,'Chemical Usage Log'!$E$3:$E$202,"Received")-SUMIFS('Chemical Usage Log'!$F$3:$F$202,'Chemical Usage Log'!$C$3:$C$202,A160,'Chemical Usage Log'!$E$3:$E$202,"Used")-SUMIFS('Chemical Usage Log'!$F$3:$F$202,'Chemical Usage Log'!$C$3:$C$202,A160,'Chemical Usage Log'!$E$3:$E$202,"Disposed")+SUMIFS('Chemical Usage Log'!$F$3:$F$202,'Chemical Usage Log'!$C$3:$C$202,A160,'Chemical Usage Log'!$E$3:$E$202,"Adjusted"))</f>
        <v/>
      </c>
      <c r="K160" s="19"/>
      <c r="L160" s="16"/>
      <c r="M160" s="16"/>
      <c r="N160" s="22" t="str">
        <f t="shared" ca="1" si="12"/>
        <v/>
      </c>
      <c r="O160" s="6" t="str">
        <f t="shared" si="13"/>
        <v/>
      </c>
      <c r="P160" s="6" t="str">
        <f t="shared" ca="1" si="14"/>
        <v/>
      </c>
      <c r="Q160" s="6"/>
      <c r="R160" s="6"/>
      <c r="S160" s="16"/>
      <c r="T160" s="11"/>
    </row>
    <row r="161" spans="1:20">
      <c r="A161" s="10"/>
      <c r="B161" s="6"/>
      <c r="C161" s="6"/>
      <c r="D161" s="6"/>
      <c r="E161" s="6"/>
      <c r="F161" s="6"/>
      <c r="G161" s="6"/>
      <c r="H161" s="6"/>
      <c r="I161" s="19"/>
      <c r="J161" s="19" t="str">
        <f>IF(A161="","",I161+SUMIFS('Chemical Usage Log'!$F$3:$F$202,'Chemical Usage Log'!$C$3:$C$202,A161,'Chemical Usage Log'!$E$3:$E$202,"Received")-SUMIFS('Chemical Usage Log'!$F$3:$F$202,'Chemical Usage Log'!$C$3:$C$202,A161,'Chemical Usage Log'!$E$3:$E$202,"Used")-SUMIFS('Chemical Usage Log'!$F$3:$F$202,'Chemical Usage Log'!$C$3:$C$202,A161,'Chemical Usage Log'!$E$3:$E$202,"Disposed")+SUMIFS('Chemical Usage Log'!$F$3:$F$202,'Chemical Usage Log'!$C$3:$C$202,A161,'Chemical Usage Log'!$E$3:$E$202,"Adjusted"))</f>
        <v/>
      </c>
      <c r="K161" s="19"/>
      <c r="L161" s="16"/>
      <c r="M161" s="16"/>
      <c r="N161" s="22" t="str">
        <f t="shared" ca="1" si="12"/>
        <v/>
      </c>
      <c r="O161" s="6" t="str">
        <f t="shared" si="13"/>
        <v/>
      </c>
      <c r="P161" s="6" t="str">
        <f t="shared" ca="1" si="14"/>
        <v/>
      </c>
      <c r="Q161" s="6"/>
      <c r="R161" s="6"/>
      <c r="S161" s="16"/>
      <c r="T161" s="11"/>
    </row>
    <row r="162" spans="1:20">
      <c r="A162" s="10"/>
      <c r="B162" s="6"/>
      <c r="C162" s="6"/>
      <c r="D162" s="6"/>
      <c r="E162" s="6"/>
      <c r="F162" s="6"/>
      <c r="G162" s="6"/>
      <c r="H162" s="6"/>
      <c r="I162" s="19"/>
      <c r="J162" s="19" t="str">
        <f>IF(A162="","",I162+SUMIFS('Chemical Usage Log'!$F$3:$F$202,'Chemical Usage Log'!$C$3:$C$202,A162,'Chemical Usage Log'!$E$3:$E$202,"Received")-SUMIFS('Chemical Usage Log'!$F$3:$F$202,'Chemical Usage Log'!$C$3:$C$202,A162,'Chemical Usage Log'!$E$3:$E$202,"Used")-SUMIFS('Chemical Usage Log'!$F$3:$F$202,'Chemical Usage Log'!$C$3:$C$202,A162,'Chemical Usage Log'!$E$3:$E$202,"Disposed")+SUMIFS('Chemical Usage Log'!$F$3:$F$202,'Chemical Usage Log'!$C$3:$C$202,A162,'Chemical Usage Log'!$E$3:$E$202,"Adjusted"))</f>
        <v/>
      </c>
      <c r="K162" s="19"/>
      <c r="L162" s="16"/>
      <c r="M162" s="16"/>
      <c r="N162" s="22" t="str">
        <f t="shared" ca="1" si="12"/>
        <v/>
      </c>
      <c r="O162" s="6" t="str">
        <f t="shared" si="13"/>
        <v/>
      </c>
      <c r="P162" s="6" t="str">
        <f t="shared" ca="1" si="14"/>
        <v/>
      </c>
      <c r="Q162" s="6"/>
      <c r="R162" s="6"/>
      <c r="S162" s="16"/>
      <c r="T162" s="11"/>
    </row>
    <row r="163" spans="1:20">
      <c r="A163" s="10"/>
      <c r="B163" s="6"/>
      <c r="C163" s="6"/>
      <c r="D163" s="6"/>
      <c r="E163" s="6"/>
      <c r="F163" s="6"/>
      <c r="G163" s="6"/>
      <c r="H163" s="6"/>
      <c r="I163" s="19"/>
      <c r="J163" s="19" t="str">
        <f>IF(A163="","",I163+SUMIFS('Chemical Usage Log'!$F$3:$F$202,'Chemical Usage Log'!$C$3:$C$202,A163,'Chemical Usage Log'!$E$3:$E$202,"Received")-SUMIFS('Chemical Usage Log'!$F$3:$F$202,'Chemical Usage Log'!$C$3:$C$202,A163,'Chemical Usage Log'!$E$3:$E$202,"Used")-SUMIFS('Chemical Usage Log'!$F$3:$F$202,'Chemical Usage Log'!$C$3:$C$202,A163,'Chemical Usage Log'!$E$3:$E$202,"Disposed")+SUMIFS('Chemical Usage Log'!$F$3:$F$202,'Chemical Usage Log'!$C$3:$C$202,A163,'Chemical Usage Log'!$E$3:$E$202,"Adjusted"))</f>
        <v/>
      </c>
      <c r="K163" s="19"/>
      <c r="L163" s="16"/>
      <c r="M163" s="16"/>
      <c r="N163" s="22" t="str">
        <f t="shared" ref="N163:N194" ca="1" si="15">IF(M163="","",M163-TODAY())</f>
        <v/>
      </c>
      <c r="O163" s="6" t="str">
        <f t="shared" ref="O163:O194" si="16">IF(J163="","",IF(J163&lt;=0,"OUT OF STOCK",IF(J163&lt;=K163,"LOW STOCK","OK")))</f>
        <v/>
      </c>
      <c r="P163" s="6" t="str">
        <f t="shared" ref="P163:P194" ca="1" si="17">IF(A163="","",IF(M163="","NO EXPIRY DATE",IF(M163&lt;TODAY(),"EXPIRED",IF(M163-TODAY()&lt;=30,"EXPIRING &lt;=30 DAYS",IF(M163-TODAY()&lt;=90,"EXPIRING &lt;=90 DAYS","OK")))))</f>
        <v/>
      </c>
      <c r="Q163" s="6"/>
      <c r="R163" s="6"/>
      <c r="S163" s="16"/>
      <c r="T163" s="11"/>
    </row>
    <row r="164" spans="1:20">
      <c r="A164" s="10"/>
      <c r="B164" s="6"/>
      <c r="C164" s="6"/>
      <c r="D164" s="6"/>
      <c r="E164" s="6"/>
      <c r="F164" s="6"/>
      <c r="G164" s="6"/>
      <c r="H164" s="6"/>
      <c r="I164" s="19"/>
      <c r="J164" s="19" t="str">
        <f>IF(A164="","",I164+SUMIFS('Chemical Usage Log'!$F$3:$F$202,'Chemical Usage Log'!$C$3:$C$202,A164,'Chemical Usage Log'!$E$3:$E$202,"Received")-SUMIFS('Chemical Usage Log'!$F$3:$F$202,'Chemical Usage Log'!$C$3:$C$202,A164,'Chemical Usage Log'!$E$3:$E$202,"Used")-SUMIFS('Chemical Usage Log'!$F$3:$F$202,'Chemical Usage Log'!$C$3:$C$202,A164,'Chemical Usage Log'!$E$3:$E$202,"Disposed")+SUMIFS('Chemical Usage Log'!$F$3:$F$202,'Chemical Usage Log'!$C$3:$C$202,A164,'Chemical Usage Log'!$E$3:$E$202,"Adjusted"))</f>
        <v/>
      </c>
      <c r="K164" s="19"/>
      <c r="L164" s="16"/>
      <c r="M164" s="16"/>
      <c r="N164" s="22" t="str">
        <f t="shared" ca="1" si="15"/>
        <v/>
      </c>
      <c r="O164" s="6" t="str">
        <f t="shared" si="16"/>
        <v/>
      </c>
      <c r="P164" s="6" t="str">
        <f t="shared" ca="1" si="17"/>
        <v/>
      </c>
      <c r="Q164" s="6"/>
      <c r="R164" s="6"/>
      <c r="S164" s="16"/>
      <c r="T164" s="11"/>
    </row>
    <row r="165" spans="1:20">
      <c r="A165" s="10"/>
      <c r="B165" s="6"/>
      <c r="C165" s="6"/>
      <c r="D165" s="6"/>
      <c r="E165" s="6"/>
      <c r="F165" s="6"/>
      <c r="G165" s="6"/>
      <c r="H165" s="6"/>
      <c r="I165" s="19"/>
      <c r="J165" s="19" t="str">
        <f>IF(A165="","",I165+SUMIFS('Chemical Usage Log'!$F$3:$F$202,'Chemical Usage Log'!$C$3:$C$202,A165,'Chemical Usage Log'!$E$3:$E$202,"Received")-SUMIFS('Chemical Usage Log'!$F$3:$F$202,'Chemical Usage Log'!$C$3:$C$202,A165,'Chemical Usage Log'!$E$3:$E$202,"Used")-SUMIFS('Chemical Usage Log'!$F$3:$F$202,'Chemical Usage Log'!$C$3:$C$202,A165,'Chemical Usage Log'!$E$3:$E$202,"Disposed")+SUMIFS('Chemical Usage Log'!$F$3:$F$202,'Chemical Usage Log'!$C$3:$C$202,A165,'Chemical Usage Log'!$E$3:$E$202,"Adjusted"))</f>
        <v/>
      </c>
      <c r="K165" s="19"/>
      <c r="L165" s="16"/>
      <c r="M165" s="16"/>
      <c r="N165" s="22" t="str">
        <f t="shared" ca="1" si="15"/>
        <v/>
      </c>
      <c r="O165" s="6" t="str">
        <f t="shared" si="16"/>
        <v/>
      </c>
      <c r="P165" s="6" t="str">
        <f t="shared" ca="1" si="17"/>
        <v/>
      </c>
      <c r="Q165" s="6"/>
      <c r="R165" s="6"/>
      <c r="S165" s="16"/>
      <c r="T165" s="11"/>
    </row>
    <row r="166" spans="1:20">
      <c r="A166" s="10"/>
      <c r="B166" s="6"/>
      <c r="C166" s="6"/>
      <c r="D166" s="6"/>
      <c r="E166" s="6"/>
      <c r="F166" s="6"/>
      <c r="G166" s="6"/>
      <c r="H166" s="6"/>
      <c r="I166" s="19"/>
      <c r="J166" s="19" t="str">
        <f>IF(A166="","",I166+SUMIFS('Chemical Usage Log'!$F$3:$F$202,'Chemical Usage Log'!$C$3:$C$202,A166,'Chemical Usage Log'!$E$3:$E$202,"Received")-SUMIFS('Chemical Usage Log'!$F$3:$F$202,'Chemical Usage Log'!$C$3:$C$202,A166,'Chemical Usage Log'!$E$3:$E$202,"Used")-SUMIFS('Chemical Usage Log'!$F$3:$F$202,'Chemical Usage Log'!$C$3:$C$202,A166,'Chemical Usage Log'!$E$3:$E$202,"Disposed")+SUMIFS('Chemical Usage Log'!$F$3:$F$202,'Chemical Usage Log'!$C$3:$C$202,A166,'Chemical Usage Log'!$E$3:$E$202,"Adjusted"))</f>
        <v/>
      </c>
      <c r="K166" s="19"/>
      <c r="L166" s="16"/>
      <c r="M166" s="16"/>
      <c r="N166" s="22" t="str">
        <f t="shared" ca="1" si="15"/>
        <v/>
      </c>
      <c r="O166" s="6" t="str">
        <f t="shared" si="16"/>
        <v/>
      </c>
      <c r="P166" s="6" t="str">
        <f t="shared" ca="1" si="17"/>
        <v/>
      </c>
      <c r="Q166" s="6"/>
      <c r="R166" s="6"/>
      <c r="S166" s="16"/>
      <c r="T166" s="11"/>
    </row>
    <row r="167" spans="1:20">
      <c r="A167" s="10"/>
      <c r="B167" s="6"/>
      <c r="C167" s="6"/>
      <c r="D167" s="6"/>
      <c r="E167" s="6"/>
      <c r="F167" s="6"/>
      <c r="G167" s="6"/>
      <c r="H167" s="6"/>
      <c r="I167" s="19"/>
      <c r="J167" s="19" t="str">
        <f>IF(A167="","",I167+SUMIFS('Chemical Usage Log'!$F$3:$F$202,'Chemical Usage Log'!$C$3:$C$202,A167,'Chemical Usage Log'!$E$3:$E$202,"Received")-SUMIFS('Chemical Usage Log'!$F$3:$F$202,'Chemical Usage Log'!$C$3:$C$202,A167,'Chemical Usage Log'!$E$3:$E$202,"Used")-SUMIFS('Chemical Usage Log'!$F$3:$F$202,'Chemical Usage Log'!$C$3:$C$202,A167,'Chemical Usage Log'!$E$3:$E$202,"Disposed")+SUMIFS('Chemical Usage Log'!$F$3:$F$202,'Chemical Usage Log'!$C$3:$C$202,A167,'Chemical Usage Log'!$E$3:$E$202,"Adjusted"))</f>
        <v/>
      </c>
      <c r="K167" s="19"/>
      <c r="L167" s="16"/>
      <c r="M167" s="16"/>
      <c r="N167" s="22" t="str">
        <f t="shared" ca="1" si="15"/>
        <v/>
      </c>
      <c r="O167" s="6" t="str">
        <f t="shared" si="16"/>
        <v/>
      </c>
      <c r="P167" s="6" t="str">
        <f t="shared" ca="1" si="17"/>
        <v/>
      </c>
      <c r="Q167" s="6"/>
      <c r="R167" s="6"/>
      <c r="S167" s="16"/>
      <c r="T167" s="11"/>
    </row>
    <row r="168" spans="1:20">
      <c r="A168" s="10"/>
      <c r="B168" s="6"/>
      <c r="C168" s="6"/>
      <c r="D168" s="6"/>
      <c r="E168" s="6"/>
      <c r="F168" s="6"/>
      <c r="G168" s="6"/>
      <c r="H168" s="6"/>
      <c r="I168" s="19"/>
      <c r="J168" s="19" t="str">
        <f>IF(A168="","",I168+SUMIFS('Chemical Usage Log'!$F$3:$F$202,'Chemical Usage Log'!$C$3:$C$202,A168,'Chemical Usage Log'!$E$3:$E$202,"Received")-SUMIFS('Chemical Usage Log'!$F$3:$F$202,'Chemical Usage Log'!$C$3:$C$202,A168,'Chemical Usage Log'!$E$3:$E$202,"Used")-SUMIFS('Chemical Usage Log'!$F$3:$F$202,'Chemical Usage Log'!$C$3:$C$202,A168,'Chemical Usage Log'!$E$3:$E$202,"Disposed")+SUMIFS('Chemical Usage Log'!$F$3:$F$202,'Chemical Usage Log'!$C$3:$C$202,A168,'Chemical Usage Log'!$E$3:$E$202,"Adjusted"))</f>
        <v/>
      </c>
      <c r="K168" s="19"/>
      <c r="L168" s="16"/>
      <c r="M168" s="16"/>
      <c r="N168" s="22" t="str">
        <f t="shared" ca="1" si="15"/>
        <v/>
      </c>
      <c r="O168" s="6" t="str">
        <f t="shared" si="16"/>
        <v/>
      </c>
      <c r="P168" s="6" t="str">
        <f t="shared" ca="1" si="17"/>
        <v/>
      </c>
      <c r="Q168" s="6"/>
      <c r="R168" s="6"/>
      <c r="S168" s="16"/>
      <c r="T168" s="11"/>
    </row>
    <row r="169" spans="1:20">
      <c r="A169" s="10"/>
      <c r="B169" s="6"/>
      <c r="C169" s="6"/>
      <c r="D169" s="6"/>
      <c r="E169" s="6"/>
      <c r="F169" s="6"/>
      <c r="G169" s="6"/>
      <c r="H169" s="6"/>
      <c r="I169" s="19"/>
      <c r="J169" s="19" t="str">
        <f>IF(A169="","",I169+SUMIFS('Chemical Usage Log'!$F$3:$F$202,'Chemical Usage Log'!$C$3:$C$202,A169,'Chemical Usage Log'!$E$3:$E$202,"Received")-SUMIFS('Chemical Usage Log'!$F$3:$F$202,'Chemical Usage Log'!$C$3:$C$202,A169,'Chemical Usage Log'!$E$3:$E$202,"Used")-SUMIFS('Chemical Usage Log'!$F$3:$F$202,'Chemical Usage Log'!$C$3:$C$202,A169,'Chemical Usage Log'!$E$3:$E$202,"Disposed")+SUMIFS('Chemical Usage Log'!$F$3:$F$202,'Chemical Usage Log'!$C$3:$C$202,A169,'Chemical Usage Log'!$E$3:$E$202,"Adjusted"))</f>
        <v/>
      </c>
      <c r="K169" s="19"/>
      <c r="L169" s="16"/>
      <c r="M169" s="16"/>
      <c r="N169" s="22" t="str">
        <f t="shared" ca="1" si="15"/>
        <v/>
      </c>
      <c r="O169" s="6" t="str">
        <f t="shared" si="16"/>
        <v/>
      </c>
      <c r="P169" s="6" t="str">
        <f t="shared" ca="1" si="17"/>
        <v/>
      </c>
      <c r="Q169" s="6"/>
      <c r="R169" s="6"/>
      <c r="S169" s="16"/>
      <c r="T169" s="11"/>
    </row>
    <row r="170" spans="1:20">
      <c r="A170" s="10"/>
      <c r="B170" s="6"/>
      <c r="C170" s="6"/>
      <c r="D170" s="6"/>
      <c r="E170" s="6"/>
      <c r="F170" s="6"/>
      <c r="G170" s="6"/>
      <c r="H170" s="6"/>
      <c r="I170" s="19"/>
      <c r="J170" s="19" t="str">
        <f>IF(A170="","",I170+SUMIFS('Chemical Usage Log'!$F$3:$F$202,'Chemical Usage Log'!$C$3:$C$202,A170,'Chemical Usage Log'!$E$3:$E$202,"Received")-SUMIFS('Chemical Usage Log'!$F$3:$F$202,'Chemical Usage Log'!$C$3:$C$202,A170,'Chemical Usage Log'!$E$3:$E$202,"Used")-SUMIFS('Chemical Usage Log'!$F$3:$F$202,'Chemical Usage Log'!$C$3:$C$202,A170,'Chemical Usage Log'!$E$3:$E$202,"Disposed")+SUMIFS('Chemical Usage Log'!$F$3:$F$202,'Chemical Usage Log'!$C$3:$C$202,A170,'Chemical Usage Log'!$E$3:$E$202,"Adjusted"))</f>
        <v/>
      </c>
      <c r="K170" s="19"/>
      <c r="L170" s="16"/>
      <c r="M170" s="16"/>
      <c r="N170" s="22" t="str">
        <f t="shared" ca="1" si="15"/>
        <v/>
      </c>
      <c r="O170" s="6" t="str">
        <f t="shared" si="16"/>
        <v/>
      </c>
      <c r="P170" s="6" t="str">
        <f t="shared" ca="1" si="17"/>
        <v/>
      </c>
      <c r="Q170" s="6"/>
      <c r="R170" s="6"/>
      <c r="S170" s="16"/>
      <c r="T170" s="11"/>
    </row>
    <row r="171" spans="1:20">
      <c r="A171" s="10"/>
      <c r="B171" s="6"/>
      <c r="C171" s="6"/>
      <c r="D171" s="6"/>
      <c r="E171" s="6"/>
      <c r="F171" s="6"/>
      <c r="G171" s="6"/>
      <c r="H171" s="6"/>
      <c r="I171" s="19"/>
      <c r="J171" s="19" t="str">
        <f>IF(A171="","",I171+SUMIFS('Chemical Usage Log'!$F$3:$F$202,'Chemical Usage Log'!$C$3:$C$202,A171,'Chemical Usage Log'!$E$3:$E$202,"Received")-SUMIFS('Chemical Usage Log'!$F$3:$F$202,'Chemical Usage Log'!$C$3:$C$202,A171,'Chemical Usage Log'!$E$3:$E$202,"Used")-SUMIFS('Chemical Usage Log'!$F$3:$F$202,'Chemical Usage Log'!$C$3:$C$202,A171,'Chemical Usage Log'!$E$3:$E$202,"Disposed")+SUMIFS('Chemical Usage Log'!$F$3:$F$202,'Chemical Usage Log'!$C$3:$C$202,A171,'Chemical Usage Log'!$E$3:$E$202,"Adjusted"))</f>
        <v/>
      </c>
      <c r="K171" s="19"/>
      <c r="L171" s="16"/>
      <c r="M171" s="16"/>
      <c r="N171" s="22" t="str">
        <f t="shared" ca="1" si="15"/>
        <v/>
      </c>
      <c r="O171" s="6" t="str">
        <f t="shared" si="16"/>
        <v/>
      </c>
      <c r="P171" s="6" t="str">
        <f t="shared" ca="1" si="17"/>
        <v/>
      </c>
      <c r="Q171" s="6"/>
      <c r="R171" s="6"/>
      <c r="S171" s="16"/>
      <c r="T171" s="11"/>
    </row>
    <row r="172" spans="1:20">
      <c r="A172" s="10"/>
      <c r="B172" s="6"/>
      <c r="C172" s="6"/>
      <c r="D172" s="6"/>
      <c r="E172" s="6"/>
      <c r="F172" s="6"/>
      <c r="G172" s="6"/>
      <c r="H172" s="6"/>
      <c r="I172" s="19"/>
      <c r="J172" s="19" t="str">
        <f>IF(A172="","",I172+SUMIFS('Chemical Usage Log'!$F$3:$F$202,'Chemical Usage Log'!$C$3:$C$202,A172,'Chemical Usage Log'!$E$3:$E$202,"Received")-SUMIFS('Chemical Usage Log'!$F$3:$F$202,'Chemical Usage Log'!$C$3:$C$202,A172,'Chemical Usage Log'!$E$3:$E$202,"Used")-SUMIFS('Chemical Usage Log'!$F$3:$F$202,'Chemical Usage Log'!$C$3:$C$202,A172,'Chemical Usage Log'!$E$3:$E$202,"Disposed")+SUMIFS('Chemical Usage Log'!$F$3:$F$202,'Chemical Usage Log'!$C$3:$C$202,A172,'Chemical Usage Log'!$E$3:$E$202,"Adjusted"))</f>
        <v/>
      </c>
      <c r="K172" s="19"/>
      <c r="L172" s="16"/>
      <c r="M172" s="16"/>
      <c r="N172" s="22" t="str">
        <f t="shared" ca="1" si="15"/>
        <v/>
      </c>
      <c r="O172" s="6" t="str">
        <f t="shared" si="16"/>
        <v/>
      </c>
      <c r="P172" s="6" t="str">
        <f t="shared" ca="1" si="17"/>
        <v/>
      </c>
      <c r="Q172" s="6"/>
      <c r="R172" s="6"/>
      <c r="S172" s="16"/>
      <c r="T172" s="11"/>
    </row>
    <row r="173" spans="1:20">
      <c r="A173" s="10"/>
      <c r="B173" s="6"/>
      <c r="C173" s="6"/>
      <c r="D173" s="6"/>
      <c r="E173" s="6"/>
      <c r="F173" s="6"/>
      <c r="G173" s="6"/>
      <c r="H173" s="6"/>
      <c r="I173" s="19"/>
      <c r="J173" s="19" t="str">
        <f>IF(A173="","",I173+SUMIFS('Chemical Usage Log'!$F$3:$F$202,'Chemical Usage Log'!$C$3:$C$202,A173,'Chemical Usage Log'!$E$3:$E$202,"Received")-SUMIFS('Chemical Usage Log'!$F$3:$F$202,'Chemical Usage Log'!$C$3:$C$202,A173,'Chemical Usage Log'!$E$3:$E$202,"Used")-SUMIFS('Chemical Usage Log'!$F$3:$F$202,'Chemical Usage Log'!$C$3:$C$202,A173,'Chemical Usage Log'!$E$3:$E$202,"Disposed")+SUMIFS('Chemical Usage Log'!$F$3:$F$202,'Chemical Usage Log'!$C$3:$C$202,A173,'Chemical Usage Log'!$E$3:$E$202,"Adjusted"))</f>
        <v/>
      </c>
      <c r="K173" s="19"/>
      <c r="L173" s="16"/>
      <c r="M173" s="16"/>
      <c r="N173" s="22" t="str">
        <f t="shared" ca="1" si="15"/>
        <v/>
      </c>
      <c r="O173" s="6" t="str">
        <f t="shared" si="16"/>
        <v/>
      </c>
      <c r="P173" s="6" t="str">
        <f t="shared" ca="1" si="17"/>
        <v/>
      </c>
      <c r="Q173" s="6"/>
      <c r="R173" s="6"/>
      <c r="S173" s="16"/>
      <c r="T173" s="11"/>
    </row>
    <row r="174" spans="1:20">
      <c r="A174" s="10"/>
      <c r="B174" s="6"/>
      <c r="C174" s="6"/>
      <c r="D174" s="6"/>
      <c r="E174" s="6"/>
      <c r="F174" s="6"/>
      <c r="G174" s="6"/>
      <c r="H174" s="6"/>
      <c r="I174" s="19"/>
      <c r="J174" s="19" t="str">
        <f>IF(A174="","",I174+SUMIFS('Chemical Usage Log'!$F$3:$F$202,'Chemical Usage Log'!$C$3:$C$202,A174,'Chemical Usage Log'!$E$3:$E$202,"Received")-SUMIFS('Chemical Usage Log'!$F$3:$F$202,'Chemical Usage Log'!$C$3:$C$202,A174,'Chemical Usage Log'!$E$3:$E$202,"Used")-SUMIFS('Chemical Usage Log'!$F$3:$F$202,'Chemical Usage Log'!$C$3:$C$202,A174,'Chemical Usage Log'!$E$3:$E$202,"Disposed")+SUMIFS('Chemical Usage Log'!$F$3:$F$202,'Chemical Usage Log'!$C$3:$C$202,A174,'Chemical Usage Log'!$E$3:$E$202,"Adjusted"))</f>
        <v/>
      </c>
      <c r="K174" s="19"/>
      <c r="L174" s="16"/>
      <c r="M174" s="16"/>
      <c r="N174" s="22" t="str">
        <f t="shared" ca="1" si="15"/>
        <v/>
      </c>
      <c r="O174" s="6" t="str">
        <f t="shared" si="16"/>
        <v/>
      </c>
      <c r="P174" s="6" t="str">
        <f t="shared" ca="1" si="17"/>
        <v/>
      </c>
      <c r="Q174" s="6"/>
      <c r="R174" s="6"/>
      <c r="S174" s="16"/>
      <c r="T174" s="11"/>
    </row>
    <row r="175" spans="1:20">
      <c r="A175" s="10"/>
      <c r="B175" s="6"/>
      <c r="C175" s="6"/>
      <c r="D175" s="6"/>
      <c r="E175" s="6"/>
      <c r="F175" s="6"/>
      <c r="G175" s="6"/>
      <c r="H175" s="6"/>
      <c r="I175" s="19"/>
      <c r="J175" s="19" t="str">
        <f>IF(A175="","",I175+SUMIFS('Chemical Usage Log'!$F$3:$F$202,'Chemical Usage Log'!$C$3:$C$202,A175,'Chemical Usage Log'!$E$3:$E$202,"Received")-SUMIFS('Chemical Usage Log'!$F$3:$F$202,'Chemical Usage Log'!$C$3:$C$202,A175,'Chemical Usage Log'!$E$3:$E$202,"Used")-SUMIFS('Chemical Usage Log'!$F$3:$F$202,'Chemical Usage Log'!$C$3:$C$202,A175,'Chemical Usage Log'!$E$3:$E$202,"Disposed")+SUMIFS('Chemical Usage Log'!$F$3:$F$202,'Chemical Usage Log'!$C$3:$C$202,A175,'Chemical Usage Log'!$E$3:$E$202,"Adjusted"))</f>
        <v/>
      </c>
      <c r="K175" s="19"/>
      <c r="L175" s="16"/>
      <c r="M175" s="16"/>
      <c r="N175" s="22" t="str">
        <f t="shared" ca="1" si="15"/>
        <v/>
      </c>
      <c r="O175" s="6" t="str">
        <f t="shared" si="16"/>
        <v/>
      </c>
      <c r="P175" s="6" t="str">
        <f t="shared" ca="1" si="17"/>
        <v/>
      </c>
      <c r="Q175" s="6"/>
      <c r="R175" s="6"/>
      <c r="S175" s="16"/>
      <c r="T175" s="11"/>
    </row>
    <row r="176" spans="1:20">
      <c r="A176" s="10"/>
      <c r="B176" s="6"/>
      <c r="C176" s="6"/>
      <c r="D176" s="6"/>
      <c r="E176" s="6"/>
      <c r="F176" s="6"/>
      <c r="G176" s="6"/>
      <c r="H176" s="6"/>
      <c r="I176" s="19"/>
      <c r="J176" s="19" t="str">
        <f>IF(A176="","",I176+SUMIFS('Chemical Usage Log'!$F$3:$F$202,'Chemical Usage Log'!$C$3:$C$202,A176,'Chemical Usage Log'!$E$3:$E$202,"Received")-SUMIFS('Chemical Usage Log'!$F$3:$F$202,'Chemical Usage Log'!$C$3:$C$202,A176,'Chemical Usage Log'!$E$3:$E$202,"Used")-SUMIFS('Chemical Usage Log'!$F$3:$F$202,'Chemical Usage Log'!$C$3:$C$202,A176,'Chemical Usage Log'!$E$3:$E$202,"Disposed")+SUMIFS('Chemical Usage Log'!$F$3:$F$202,'Chemical Usage Log'!$C$3:$C$202,A176,'Chemical Usage Log'!$E$3:$E$202,"Adjusted"))</f>
        <v/>
      </c>
      <c r="K176" s="19"/>
      <c r="L176" s="16"/>
      <c r="M176" s="16"/>
      <c r="N176" s="22" t="str">
        <f t="shared" ca="1" si="15"/>
        <v/>
      </c>
      <c r="O176" s="6" t="str">
        <f t="shared" si="16"/>
        <v/>
      </c>
      <c r="P176" s="6" t="str">
        <f t="shared" ca="1" si="17"/>
        <v/>
      </c>
      <c r="Q176" s="6"/>
      <c r="R176" s="6"/>
      <c r="S176" s="16"/>
      <c r="T176" s="11"/>
    </row>
    <row r="177" spans="1:20">
      <c r="A177" s="10"/>
      <c r="B177" s="6"/>
      <c r="C177" s="6"/>
      <c r="D177" s="6"/>
      <c r="E177" s="6"/>
      <c r="F177" s="6"/>
      <c r="G177" s="6"/>
      <c r="H177" s="6"/>
      <c r="I177" s="19"/>
      <c r="J177" s="19" t="str">
        <f>IF(A177="","",I177+SUMIFS('Chemical Usage Log'!$F$3:$F$202,'Chemical Usage Log'!$C$3:$C$202,A177,'Chemical Usage Log'!$E$3:$E$202,"Received")-SUMIFS('Chemical Usage Log'!$F$3:$F$202,'Chemical Usage Log'!$C$3:$C$202,A177,'Chemical Usage Log'!$E$3:$E$202,"Used")-SUMIFS('Chemical Usage Log'!$F$3:$F$202,'Chemical Usage Log'!$C$3:$C$202,A177,'Chemical Usage Log'!$E$3:$E$202,"Disposed")+SUMIFS('Chemical Usage Log'!$F$3:$F$202,'Chemical Usage Log'!$C$3:$C$202,A177,'Chemical Usage Log'!$E$3:$E$202,"Adjusted"))</f>
        <v/>
      </c>
      <c r="K177" s="19"/>
      <c r="L177" s="16"/>
      <c r="M177" s="16"/>
      <c r="N177" s="22" t="str">
        <f t="shared" ca="1" si="15"/>
        <v/>
      </c>
      <c r="O177" s="6" t="str">
        <f t="shared" si="16"/>
        <v/>
      </c>
      <c r="P177" s="6" t="str">
        <f t="shared" ca="1" si="17"/>
        <v/>
      </c>
      <c r="Q177" s="6"/>
      <c r="R177" s="6"/>
      <c r="S177" s="16"/>
      <c r="T177" s="11"/>
    </row>
    <row r="178" spans="1:20">
      <c r="A178" s="10"/>
      <c r="B178" s="6"/>
      <c r="C178" s="6"/>
      <c r="D178" s="6"/>
      <c r="E178" s="6"/>
      <c r="F178" s="6"/>
      <c r="G178" s="6"/>
      <c r="H178" s="6"/>
      <c r="I178" s="19"/>
      <c r="J178" s="19" t="str">
        <f>IF(A178="","",I178+SUMIFS('Chemical Usage Log'!$F$3:$F$202,'Chemical Usage Log'!$C$3:$C$202,A178,'Chemical Usage Log'!$E$3:$E$202,"Received")-SUMIFS('Chemical Usage Log'!$F$3:$F$202,'Chemical Usage Log'!$C$3:$C$202,A178,'Chemical Usage Log'!$E$3:$E$202,"Used")-SUMIFS('Chemical Usage Log'!$F$3:$F$202,'Chemical Usage Log'!$C$3:$C$202,A178,'Chemical Usage Log'!$E$3:$E$202,"Disposed")+SUMIFS('Chemical Usage Log'!$F$3:$F$202,'Chemical Usage Log'!$C$3:$C$202,A178,'Chemical Usage Log'!$E$3:$E$202,"Adjusted"))</f>
        <v/>
      </c>
      <c r="K178" s="19"/>
      <c r="L178" s="16"/>
      <c r="M178" s="16"/>
      <c r="N178" s="22" t="str">
        <f t="shared" ca="1" si="15"/>
        <v/>
      </c>
      <c r="O178" s="6" t="str">
        <f t="shared" si="16"/>
        <v/>
      </c>
      <c r="P178" s="6" t="str">
        <f t="shared" ca="1" si="17"/>
        <v/>
      </c>
      <c r="Q178" s="6"/>
      <c r="R178" s="6"/>
      <c r="S178" s="16"/>
      <c r="T178" s="11"/>
    </row>
    <row r="179" spans="1:20">
      <c r="A179" s="10"/>
      <c r="B179" s="6"/>
      <c r="C179" s="6"/>
      <c r="D179" s="6"/>
      <c r="E179" s="6"/>
      <c r="F179" s="6"/>
      <c r="G179" s="6"/>
      <c r="H179" s="6"/>
      <c r="I179" s="19"/>
      <c r="J179" s="19" t="str">
        <f>IF(A179="","",I179+SUMIFS('Chemical Usage Log'!$F$3:$F$202,'Chemical Usage Log'!$C$3:$C$202,A179,'Chemical Usage Log'!$E$3:$E$202,"Received")-SUMIFS('Chemical Usage Log'!$F$3:$F$202,'Chemical Usage Log'!$C$3:$C$202,A179,'Chemical Usage Log'!$E$3:$E$202,"Used")-SUMIFS('Chemical Usage Log'!$F$3:$F$202,'Chemical Usage Log'!$C$3:$C$202,A179,'Chemical Usage Log'!$E$3:$E$202,"Disposed")+SUMIFS('Chemical Usage Log'!$F$3:$F$202,'Chemical Usage Log'!$C$3:$C$202,A179,'Chemical Usage Log'!$E$3:$E$202,"Adjusted"))</f>
        <v/>
      </c>
      <c r="K179" s="19"/>
      <c r="L179" s="16"/>
      <c r="M179" s="16"/>
      <c r="N179" s="22" t="str">
        <f t="shared" ca="1" si="15"/>
        <v/>
      </c>
      <c r="O179" s="6" t="str">
        <f t="shared" si="16"/>
        <v/>
      </c>
      <c r="P179" s="6" t="str">
        <f t="shared" ca="1" si="17"/>
        <v/>
      </c>
      <c r="Q179" s="6"/>
      <c r="R179" s="6"/>
      <c r="S179" s="16"/>
      <c r="T179" s="11"/>
    </row>
    <row r="180" spans="1:20">
      <c r="A180" s="10"/>
      <c r="B180" s="6"/>
      <c r="C180" s="6"/>
      <c r="D180" s="6"/>
      <c r="E180" s="6"/>
      <c r="F180" s="6"/>
      <c r="G180" s="6"/>
      <c r="H180" s="6"/>
      <c r="I180" s="19"/>
      <c r="J180" s="19" t="str">
        <f>IF(A180="","",I180+SUMIFS('Chemical Usage Log'!$F$3:$F$202,'Chemical Usage Log'!$C$3:$C$202,A180,'Chemical Usage Log'!$E$3:$E$202,"Received")-SUMIFS('Chemical Usage Log'!$F$3:$F$202,'Chemical Usage Log'!$C$3:$C$202,A180,'Chemical Usage Log'!$E$3:$E$202,"Used")-SUMIFS('Chemical Usage Log'!$F$3:$F$202,'Chemical Usage Log'!$C$3:$C$202,A180,'Chemical Usage Log'!$E$3:$E$202,"Disposed")+SUMIFS('Chemical Usage Log'!$F$3:$F$202,'Chemical Usage Log'!$C$3:$C$202,A180,'Chemical Usage Log'!$E$3:$E$202,"Adjusted"))</f>
        <v/>
      </c>
      <c r="K180" s="19"/>
      <c r="L180" s="16"/>
      <c r="M180" s="16"/>
      <c r="N180" s="22" t="str">
        <f t="shared" ca="1" si="15"/>
        <v/>
      </c>
      <c r="O180" s="6" t="str">
        <f t="shared" si="16"/>
        <v/>
      </c>
      <c r="P180" s="6" t="str">
        <f t="shared" ca="1" si="17"/>
        <v/>
      </c>
      <c r="Q180" s="6"/>
      <c r="R180" s="6"/>
      <c r="S180" s="16"/>
      <c r="T180" s="11"/>
    </row>
    <row r="181" spans="1:20">
      <c r="A181" s="10"/>
      <c r="B181" s="6"/>
      <c r="C181" s="6"/>
      <c r="D181" s="6"/>
      <c r="E181" s="6"/>
      <c r="F181" s="6"/>
      <c r="G181" s="6"/>
      <c r="H181" s="6"/>
      <c r="I181" s="19"/>
      <c r="J181" s="19" t="str">
        <f>IF(A181="","",I181+SUMIFS('Chemical Usage Log'!$F$3:$F$202,'Chemical Usage Log'!$C$3:$C$202,A181,'Chemical Usage Log'!$E$3:$E$202,"Received")-SUMIFS('Chemical Usage Log'!$F$3:$F$202,'Chemical Usage Log'!$C$3:$C$202,A181,'Chemical Usage Log'!$E$3:$E$202,"Used")-SUMIFS('Chemical Usage Log'!$F$3:$F$202,'Chemical Usage Log'!$C$3:$C$202,A181,'Chemical Usage Log'!$E$3:$E$202,"Disposed")+SUMIFS('Chemical Usage Log'!$F$3:$F$202,'Chemical Usage Log'!$C$3:$C$202,A181,'Chemical Usage Log'!$E$3:$E$202,"Adjusted"))</f>
        <v/>
      </c>
      <c r="K181" s="19"/>
      <c r="L181" s="16"/>
      <c r="M181" s="16"/>
      <c r="N181" s="22" t="str">
        <f t="shared" ca="1" si="15"/>
        <v/>
      </c>
      <c r="O181" s="6" t="str">
        <f t="shared" si="16"/>
        <v/>
      </c>
      <c r="P181" s="6" t="str">
        <f t="shared" ca="1" si="17"/>
        <v/>
      </c>
      <c r="Q181" s="6"/>
      <c r="R181" s="6"/>
      <c r="S181" s="16"/>
      <c r="T181" s="11"/>
    </row>
    <row r="182" spans="1:20">
      <c r="A182" s="10"/>
      <c r="B182" s="6"/>
      <c r="C182" s="6"/>
      <c r="D182" s="6"/>
      <c r="E182" s="6"/>
      <c r="F182" s="6"/>
      <c r="G182" s="6"/>
      <c r="H182" s="6"/>
      <c r="I182" s="19"/>
      <c r="J182" s="19" t="str">
        <f>IF(A182="","",I182+SUMIFS('Chemical Usage Log'!$F$3:$F$202,'Chemical Usage Log'!$C$3:$C$202,A182,'Chemical Usage Log'!$E$3:$E$202,"Received")-SUMIFS('Chemical Usage Log'!$F$3:$F$202,'Chemical Usage Log'!$C$3:$C$202,A182,'Chemical Usage Log'!$E$3:$E$202,"Used")-SUMIFS('Chemical Usage Log'!$F$3:$F$202,'Chemical Usage Log'!$C$3:$C$202,A182,'Chemical Usage Log'!$E$3:$E$202,"Disposed")+SUMIFS('Chemical Usage Log'!$F$3:$F$202,'Chemical Usage Log'!$C$3:$C$202,A182,'Chemical Usage Log'!$E$3:$E$202,"Adjusted"))</f>
        <v/>
      </c>
      <c r="K182" s="19"/>
      <c r="L182" s="16"/>
      <c r="M182" s="16"/>
      <c r="N182" s="22" t="str">
        <f t="shared" ca="1" si="15"/>
        <v/>
      </c>
      <c r="O182" s="6" t="str">
        <f t="shared" si="16"/>
        <v/>
      </c>
      <c r="P182" s="6" t="str">
        <f t="shared" ca="1" si="17"/>
        <v/>
      </c>
      <c r="Q182" s="6"/>
      <c r="R182" s="6"/>
      <c r="S182" s="16"/>
      <c r="T182" s="11"/>
    </row>
    <row r="183" spans="1:20">
      <c r="A183" s="10"/>
      <c r="B183" s="6"/>
      <c r="C183" s="6"/>
      <c r="D183" s="6"/>
      <c r="E183" s="6"/>
      <c r="F183" s="6"/>
      <c r="G183" s="6"/>
      <c r="H183" s="6"/>
      <c r="I183" s="19"/>
      <c r="J183" s="19" t="str">
        <f>IF(A183="","",I183+SUMIFS('Chemical Usage Log'!$F$3:$F$202,'Chemical Usage Log'!$C$3:$C$202,A183,'Chemical Usage Log'!$E$3:$E$202,"Received")-SUMIFS('Chemical Usage Log'!$F$3:$F$202,'Chemical Usage Log'!$C$3:$C$202,A183,'Chemical Usage Log'!$E$3:$E$202,"Used")-SUMIFS('Chemical Usage Log'!$F$3:$F$202,'Chemical Usage Log'!$C$3:$C$202,A183,'Chemical Usage Log'!$E$3:$E$202,"Disposed")+SUMIFS('Chemical Usage Log'!$F$3:$F$202,'Chemical Usage Log'!$C$3:$C$202,A183,'Chemical Usage Log'!$E$3:$E$202,"Adjusted"))</f>
        <v/>
      </c>
      <c r="K183" s="19"/>
      <c r="L183" s="16"/>
      <c r="M183" s="16"/>
      <c r="N183" s="22" t="str">
        <f t="shared" ca="1" si="15"/>
        <v/>
      </c>
      <c r="O183" s="6" t="str">
        <f t="shared" si="16"/>
        <v/>
      </c>
      <c r="P183" s="6" t="str">
        <f t="shared" ca="1" si="17"/>
        <v/>
      </c>
      <c r="Q183" s="6"/>
      <c r="R183" s="6"/>
      <c r="S183" s="16"/>
      <c r="T183" s="11"/>
    </row>
    <row r="184" spans="1:20">
      <c r="A184" s="10"/>
      <c r="B184" s="6"/>
      <c r="C184" s="6"/>
      <c r="D184" s="6"/>
      <c r="E184" s="6"/>
      <c r="F184" s="6"/>
      <c r="G184" s="6"/>
      <c r="H184" s="6"/>
      <c r="I184" s="19"/>
      <c r="J184" s="19" t="str">
        <f>IF(A184="","",I184+SUMIFS('Chemical Usage Log'!$F$3:$F$202,'Chemical Usage Log'!$C$3:$C$202,A184,'Chemical Usage Log'!$E$3:$E$202,"Received")-SUMIFS('Chemical Usage Log'!$F$3:$F$202,'Chemical Usage Log'!$C$3:$C$202,A184,'Chemical Usage Log'!$E$3:$E$202,"Used")-SUMIFS('Chemical Usage Log'!$F$3:$F$202,'Chemical Usage Log'!$C$3:$C$202,A184,'Chemical Usage Log'!$E$3:$E$202,"Disposed")+SUMIFS('Chemical Usage Log'!$F$3:$F$202,'Chemical Usage Log'!$C$3:$C$202,A184,'Chemical Usage Log'!$E$3:$E$202,"Adjusted"))</f>
        <v/>
      </c>
      <c r="K184" s="19"/>
      <c r="L184" s="16"/>
      <c r="M184" s="16"/>
      <c r="N184" s="22" t="str">
        <f t="shared" ca="1" si="15"/>
        <v/>
      </c>
      <c r="O184" s="6" t="str">
        <f t="shared" si="16"/>
        <v/>
      </c>
      <c r="P184" s="6" t="str">
        <f t="shared" ca="1" si="17"/>
        <v/>
      </c>
      <c r="Q184" s="6"/>
      <c r="R184" s="6"/>
      <c r="S184" s="16"/>
      <c r="T184" s="11"/>
    </row>
    <row r="185" spans="1:20">
      <c r="A185" s="10"/>
      <c r="B185" s="6"/>
      <c r="C185" s="6"/>
      <c r="D185" s="6"/>
      <c r="E185" s="6"/>
      <c r="F185" s="6"/>
      <c r="G185" s="6"/>
      <c r="H185" s="6"/>
      <c r="I185" s="19"/>
      <c r="J185" s="19" t="str">
        <f>IF(A185="","",I185+SUMIFS('Chemical Usage Log'!$F$3:$F$202,'Chemical Usage Log'!$C$3:$C$202,A185,'Chemical Usage Log'!$E$3:$E$202,"Received")-SUMIFS('Chemical Usage Log'!$F$3:$F$202,'Chemical Usage Log'!$C$3:$C$202,A185,'Chemical Usage Log'!$E$3:$E$202,"Used")-SUMIFS('Chemical Usage Log'!$F$3:$F$202,'Chemical Usage Log'!$C$3:$C$202,A185,'Chemical Usage Log'!$E$3:$E$202,"Disposed")+SUMIFS('Chemical Usage Log'!$F$3:$F$202,'Chemical Usage Log'!$C$3:$C$202,A185,'Chemical Usage Log'!$E$3:$E$202,"Adjusted"))</f>
        <v/>
      </c>
      <c r="K185" s="19"/>
      <c r="L185" s="16"/>
      <c r="M185" s="16"/>
      <c r="N185" s="22" t="str">
        <f t="shared" ca="1" si="15"/>
        <v/>
      </c>
      <c r="O185" s="6" t="str">
        <f t="shared" si="16"/>
        <v/>
      </c>
      <c r="P185" s="6" t="str">
        <f t="shared" ca="1" si="17"/>
        <v/>
      </c>
      <c r="Q185" s="6"/>
      <c r="R185" s="6"/>
      <c r="S185" s="16"/>
      <c r="T185" s="11"/>
    </row>
    <row r="186" spans="1:20">
      <c r="A186" s="10"/>
      <c r="B186" s="6"/>
      <c r="C186" s="6"/>
      <c r="D186" s="6"/>
      <c r="E186" s="6"/>
      <c r="F186" s="6"/>
      <c r="G186" s="6"/>
      <c r="H186" s="6"/>
      <c r="I186" s="19"/>
      <c r="J186" s="19" t="str">
        <f>IF(A186="","",I186+SUMIFS('Chemical Usage Log'!$F$3:$F$202,'Chemical Usage Log'!$C$3:$C$202,A186,'Chemical Usage Log'!$E$3:$E$202,"Received")-SUMIFS('Chemical Usage Log'!$F$3:$F$202,'Chemical Usage Log'!$C$3:$C$202,A186,'Chemical Usage Log'!$E$3:$E$202,"Used")-SUMIFS('Chemical Usage Log'!$F$3:$F$202,'Chemical Usage Log'!$C$3:$C$202,A186,'Chemical Usage Log'!$E$3:$E$202,"Disposed")+SUMIFS('Chemical Usage Log'!$F$3:$F$202,'Chemical Usage Log'!$C$3:$C$202,A186,'Chemical Usage Log'!$E$3:$E$202,"Adjusted"))</f>
        <v/>
      </c>
      <c r="K186" s="19"/>
      <c r="L186" s="16"/>
      <c r="M186" s="16"/>
      <c r="N186" s="22" t="str">
        <f t="shared" ca="1" si="15"/>
        <v/>
      </c>
      <c r="O186" s="6" t="str">
        <f t="shared" si="16"/>
        <v/>
      </c>
      <c r="P186" s="6" t="str">
        <f t="shared" ca="1" si="17"/>
        <v/>
      </c>
      <c r="Q186" s="6"/>
      <c r="R186" s="6"/>
      <c r="S186" s="16"/>
      <c r="T186" s="11"/>
    </row>
    <row r="187" spans="1:20">
      <c r="A187" s="10"/>
      <c r="B187" s="6"/>
      <c r="C187" s="6"/>
      <c r="D187" s="6"/>
      <c r="E187" s="6"/>
      <c r="F187" s="6"/>
      <c r="G187" s="6"/>
      <c r="H187" s="6"/>
      <c r="I187" s="19"/>
      <c r="J187" s="19" t="str">
        <f>IF(A187="","",I187+SUMIFS('Chemical Usage Log'!$F$3:$F$202,'Chemical Usage Log'!$C$3:$C$202,A187,'Chemical Usage Log'!$E$3:$E$202,"Received")-SUMIFS('Chemical Usage Log'!$F$3:$F$202,'Chemical Usage Log'!$C$3:$C$202,A187,'Chemical Usage Log'!$E$3:$E$202,"Used")-SUMIFS('Chemical Usage Log'!$F$3:$F$202,'Chemical Usage Log'!$C$3:$C$202,A187,'Chemical Usage Log'!$E$3:$E$202,"Disposed")+SUMIFS('Chemical Usage Log'!$F$3:$F$202,'Chemical Usage Log'!$C$3:$C$202,A187,'Chemical Usage Log'!$E$3:$E$202,"Adjusted"))</f>
        <v/>
      </c>
      <c r="K187" s="19"/>
      <c r="L187" s="16"/>
      <c r="M187" s="16"/>
      <c r="N187" s="22" t="str">
        <f t="shared" ca="1" si="15"/>
        <v/>
      </c>
      <c r="O187" s="6" t="str">
        <f t="shared" si="16"/>
        <v/>
      </c>
      <c r="P187" s="6" t="str">
        <f t="shared" ca="1" si="17"/>
        <v/>
      </c>
      <c r="Q187" s="6"/>
      <c r="R187" s="6"/>
      <c r="S187" s="16"/>
      <c r="T187" s="11"/>
    </row>
    <row r="188" spans="1:20">
      <c r="A188" s="10"/>
      <c r="B188" s="6"/>
      <c r="C188" s="6"/>
      <c r="D188" s="6"/>
      <c r="E188" s="6"/>
      <c r="F188" s="6"/>
      <c r="G188" s="6"/>
      <c r="H188" s="6"/>
      <c r="I188" s="19"/>
      <c r="J188" s="19" t="str">
        <f>IF(A188="","",I188+SUMIFS('Chemical Usage Log'!$F$3:$F$202,'Chemical Usage Log'!$C$3:$C$202,A188,'Chemical Usage Log'!$E$3:$E$202,"Received")-SUMIFS('Chemical Usage Log'!$F$3:$F$202,'Chemical Usage Log'!$C$3:$C$202,A188,'Chemical Usage Log'!$E$3:$E$202,"Used")-SUMIFS('Chemical Usage Log'!$F$3:$F$202,'Chemical Usage Log'!$C$3:$C$202,A188,'Chemical Usage Log'!$E$3:$E$202,"Disposed")+SUMIFS('Chemical Usage Log'!$F$3:$F$202,'Chemical Usage Log'!$C$3:$C$202,A188,'Chemical Usage Log'!$E$3:$E$202,"Adjusted"))</f>
        <v/>
      </c>
      <c r="K188" s="19"/>
      <c r="L188" s="16"/>
      <c r="M188" s="16"/>
      <c r="N188" s="22" t="str">
        <f t="shared" ca="1" si="15"/>
        <v/>
      </c>
      <c r="O188" s="6" t="str">
        <f t="shared" si="16"/>
        <v/>
      </c>
      <c r="P188" s="6" t="str">
        <f t="shared" ca="1" si="17"/>
        <v/>
      </c>
      <c r="Q188" s="6"/>
      <c r="R188" s="6"/>
      <c r="S188" s="16"/>
      <c r="T188" s="11"/>
    </row>
    <row r="189" spans="1:20">
      <c r="A189" s="10"/>
      <c r="B189" s="6"/>
      <c r="C189" s="6"/>
      <c r="D189" s="6"/>
      <c r="E189" s="6"/>
      <c r="F189" s="6"/>
      <c r="G189" s="6"/>
      <c r="H189" s="6"/>
      <c r="I189" s="19"/>
      <c r="J189" s="19" t="str">
        <f>IF(A189="","",I189+SUMIFS('Chemical Usage Log'!$F$3:$F$202,'Chemical Usage Log'!$C$3:$C$202,A189,'Chemical Usage Log'!$E$3:$E$202,"Received")-SUMIFS('Chemical Usage Log'!$F$3:$F$202,'Chemical Usage Log'!$C$3:$C$202,A189,'Chemical Usage Log'!$E$3:$E$202,"Used")-SUMIFS('Chemical Usage Log'!$F$3:$F$202,'Chemical Usage Log'!$C$3:$C$202,A189,'Chemical Usage Log'!$E$3:$E$202,"Disposed")+SUMIFS('Chemical Usage Log'!$F$3:$F$202,'Chemical Usage Log'!$C$3:$C$202,A189,'Chemical Usage Log'!$E$3:$E$202,"Adjusted"))</f>
        <v/>
      </c>
      <c r="K189" s="19"/>
      <c r="L189" s="16"/>
      <c r="M189" s="16"/>
      <c r="N189" s="22" t="str">
        <f t="shared" ca="1" si="15"/>
        <v/>
      </c>
      <c r="O189" s="6" t="str">
        <f t="shared" si="16"/>
        <v/>
      </c>
      <c r="P189" s="6" t="str">
        <f t="shared" ca="1" si="17"/>
        <v/>
      </c>
      <c r="Q189" s="6"/>
      <c r="R189" s="6"/>
      <c r="S189" s="16"/>
      <c r="T189" s="11"/>
    </row>
    <row r="190" spans="1:20">
      <c r="A190" s="10"/>
      <c r="B190" s="6"/>
      <c r="C190" s="6"/>
      <c r="D190" s="6"/>
      <c r="E190" s="6"/>
      <c r="F190" s="6"/>
      <c r="G190" s="6"/>
      <c r="H190" s="6"/>
      <c r="I190" s="19"/>
      <c r="J190" s="19" t="str">
        <f>IF(A190="","",I190+SUMIFS('Chemical Usage Log'!$F$3:$F$202,'Chemical Usage Log'!$C$3:$C$202,A190,'Chemical Usage Log'!$E$3:$E$202,"Received")-SUMIFS('Chemical Usage Log'!$F$3:$F$202,'Chemical Usage Log'!$C$3:$C$202,A190,'Chemical Usage Log'!$E$3:$E$202,"Used")-SUMIFS('Chemical Usage Log'!$F$3:$F$202,'Chemical Usage Log'!$C$3:$C$202,A190,'Chemical Usage Log'!$E$3:$E$202,"Disposed")+SUMIFS('Chemical Usage Log'!$F$3:$F$202,'Chemical Usage Log'!$C$3:$C$202,A190,'Chemical Usage Log'!$E$3:$E$202,"Adjusted"))</f>
        <v/>
      </c>
      <c r="K190" s="19"/>
      <c r="L190" s="16"/>
      <c r="M190" s="16"/>
      <c r="N190" s="22" t="str">
        <f t="shared" ca="1" si="15"/>
        <v/>
      </c>
      <c r="O190" s="6" t="str">
        <f t="shared" si="16"/>
        <v/>
      </c>
      <c r="P190" s="6" t="str">
        <f t="shared" ca="1" si="17"/>
        <v/>
      </c>
      <c r="Q190" s="6"/>
      <c r="R190" s="6"/>
      <c r="S190" s="16"/>
      <c r="T190" s="11"/>
    </row>
    <row r="191" spans="1:20">
      <c r="A191" s="10"/>
      <c r="B191" s="6"/>
      <c r="C191" s="6"/>
      <c r="D191" s="6"/>
      <c r="E191" s="6"/>
      <c r="F191" s="6"/>
      <c r="G191" s="6"/>
      <c r="H191" s="6"/>
      <c r="I191" s="19"/>
      <c r="J191" s="19" t="str">
        <f>IF(A191="","",I191+SUMIFS('Chemical Usage Log'!$F$3:$F$202,'Chemical Usage Log'!$C$3:$C$202,A191,'Chemical Usage Log'!$E$3:$E$202,"Received")-SUMIFS('Chemical Usage Log'!$F$3:$F$202,'Chemical Usage Log'!$C$3:$C$202,A191,'Chemical Usage Log'!$E$3:$E$202,"Used")-SUMIFS('Chemical Usage Log'!$F$3:$F$202,'Chemical Usage Log'!$C$3:$C$202,A191,'Chemical Usage Log'!$E$3:$E$202,"Disposed")+SUMIFS('Chemical Usage Log'!$F$3:$F$202,'Chemical Usage Log'!$C$3:$C$202,A191,'Chemical Usage Log'!$E$3:$E$202,"Adjusted"))</f>
        <v/>
      </c>
      <c r="K191" s="19"/>
      <c r="L191" s="16"/>
      <c r="M191" s="16"/>
      <c r="N191" s="22" t="str">
        <f t="shared" ca="1" si="15"/>
        <v/>
      </c>
      <c r="O191" s="6" t="str">
        <f t="shared" si="16"/>
        <v/>
      </c>
      <c r="P191" s="6" t="str">
        <f t="shared" ca="1" si="17"/>
        <v/>
      </c>
      <c r="Q191" s="6"/>
      <c r="R191" s="6"/>
      <c r="S191" s="16"/>
      <c r="T191" s="11"/>
    </row>
    <row r="192" spans="1:20">
      <c r="A192" s="10"/>
      <c r="B192" s="6"/>
      <c r="C192" s="6"/>
      <c r="D192" s="6"/>
      <c r="E192" s="6"/>
      <c r="F192" s="6"/>
      <c r="G192" s="6"/>
      <c r="H192" s="6"/>
      <c r="I192" s="19"/>
      <c r="J192" s="19" t="str">
        <f>IF(A192="","",I192+SUMIFS('Chemical Usage Log'!$F$3:$F$202,'Chemical Usage Log'!$C$3:$C$202,A192,'Chemical Usage Log'!$E$3:$E$202,"Received")-SUMIFS('Chemical Usage Log'!$F$3:$F$202,'Chemical Usage Log'!$C$3:$C$202,A192,'Chemical Usage Log'!$E$3:$E$202,"Used")-SUMIFS('Chemical Usage Log'!$F$3:$F$202,'Chemical Usage Log'!$C$3:$C$202,A192,'Chemical Usage Log'!$E$3:$E$202,"Disposed")+SUMIFS('Chemical Usage Log'!$F$3:$F$202,'Chemical Usage Log'!$C$3:$C$202,A192,'Chemical Usage Log'!$E$3:$E$202,"Adjusted"))</f>
        <v/>
      </c>
      <c r="K192" s="19"/>
      <c r="L192" s="16"/>
      <c r="M192" s="16"/>
      <c r="N192" s="22" t="str">
        <f t="shared" ca="1" si="15"/>
        <v/>
      </c>
      <c r="O192" s="6" t="str">
        <f t="shared" si="16"/>
        <v/>
      </c>
      <c r="P192" s="6" t="str">
        <f t="shared" ca="1" si="17"/>
        <v/>
      </c>
      <c r="Q192" s="6"/>
      <c r="R192" s="6"/>
      <c r="S192" s="16"/>
      <c r="T192" s="11"/>
    </row>
    <row r="193" spans="1:20">
      <c r="A193" s="10"/>
      <c r="B193" s="6"/>
      <c r="C193" s="6"/>
      <c r="D193" s="6"/>
      <c r="E193" s="6"/>
      <c r="F193" s="6"/>
      <c r="G193" s="6"/>
      <c r="H193" s="6"/>
      <c r="I193" s="19"/>
      <c r="J193" s="19" t="str">
        <f>IF(A193="","",I193+SUMIFS('Chemical Usage Log'!$F$3:$F$202,'Chemical Usage Log'!$C$3:$C$202,A193,'Chemical Usage Log'!$E$3:$E$202,"Received")-SUMIFS('Chemical Usage Log'!$F$3:$F$202,'Chemical Usage Log'!$C$3:$C$202,A193,'Chemical Usage Log'!$E$3:$E$202,"Used")-SUMIFS('Chemical Usage Log'!$F$3:$F$202,'Chemical Usage Log'!$C$3:$C$202,A193,'Chemical Usage Log'!$E$3:$E$202,"Disposed")+SUMIFS('Chemical Usage Log'!$F$3:$F$202,'Chemical Usage Log'!$C$3:$C$202,A193,'Chemical Usage Log'!$E$3:$E$202,"Adjusted"))</f>
        <v/>
      </c>
      <c r="K193" s="19"/>
      <c r="L193" s="16"/>
      <c r="M193" s="16"/>
      <c r="N193" s="22" t="str">
        <f t="shared" ca="1" si="15"/>
        <v/>
      </c>
      <c r="O193" s="6" t="str">
        <f t="shared" si="16"/>
        <v/>
      </c>
      <c r="P193" s="6" t="str">
        <f t="shared" ca="1" si="17"/>
        <v/>
      </c>
      <c r="Q193" s="6"/>
      <c r="R193" s="6"/>
      <c r="S193" s="16"/>
      <c r="T193" s="11"/>
    </row>
    <row r="194" spans="1:20">
      <c r="A194" s="10"/>
      <c r="B194" s="6"/>
      <c r="C194" s="6"/>
      <c r="D194" s="6"/>
      <c r="E194" s="6"/>
      <c r="F194" s="6"/>
      <c r="G194" s="6"/>
      <c r="H194" s="6"/>
      <c r="I194" s="19"/>
      <c r="J194" s="19" t="str">
        <f>IF(A194="","",I194+SUMIFS('Chemical Usage Log'!$F$3:$F$202,'Chemical Usage Log'!$C$3:$C$202,A194,'Chemical Usage Log'!$E$3:$E$202,"Received")-SUMIFS('Chemical Usage Log'!$F$3:$F$202,'Chemical Usage Log'!$C$3:$C$202,A194,'Chemical Usage Log'!$E$3:$E$202,"Used")-SUMIFS('Chemical Usage Log'!$F$3:$F$202,'Chemical Usage Log'!$C$3:$C$202,A194,'Chemical Usage Log'!$E$3:$E$202,"Disposed")+SUMIFS('Chemical Usage Log'!$F$3:$F$202,'Chemical Usage Log'!$C$3:$C$202,A194,'Chemical Usage Log'!$E$3:$E$202,"Adjusted"))</f>
        <v/>
      </c>
      <c r="K194" s="19"/>
      <c r="L194" s="16"/>
      <c r="M194" s="16"/>
      <c r="N194" s="22" t="str">
        <f t="shared" ca="1" si="15"/>
        <v/>
      </c>
      <c r="O194" s="6" t="str">
        <f t="shared" si="16"/>
        <v/>
      </c>
      <c r="P194" s="6" t="str">
        <f t="shared" ca="1" si="17"/>
        <v/>
      </c>
      <c r="Q194" s="6"/>
      <c r="R194" s="6"/>
      <c r="S194" s="16"/>
      <c r="T194" s="11"/>
    </row>
    <row r="195" spans="1:20">
      <c r="A195" s="10"/>
      <c r="B195" s="6"/>
      <c r="C195" s="6"/>
      <c r="D195" s="6"/>
      <c r="E195" s="6"/>
      <c r="F195" s="6"/>
      <c r="G195" s="6"/>
      <c r="H195" s="6"/>
      <c r="I195" s="19"/>
      <c r="J195" s="19" t="str">
        <f>IF(A195="","",I195+SUMIFS('Chemical Usage Log'!$F$3:$F$202,'Chemical Usage Log'!$C$3:$C$202,A195,'Chemical Usage Log'!$E$3:$E$202,"Received")-SUMIFS('Chemical Usage Log'!$F$3:$F$202,'Chemical Usage Log'!$C$3:$C$202,A195,'Chemical Usage Log'!$E$3:$E$202,"Used")-SUMIFS('Chemical Usage Log'!$F$3:$F$202,'Chemical Usage Log'!$C$3:$C$202,A195,'Chemical Usage Log'!$E$3:$E$202,"Disposed")+SUMIFS('Chemical Usage Log'!$F$3:$F$202,'Chemical Usage Log'!$C$3:$C$202,A195,'Chemical Usage Log'!$E$3:$E$202,"Adjusted"))</f>
        <v/>
      </c>
      <c r="K195" s="19"/>
      <c r="L195" s="16"/>
      <c r="M195" s="16"/>
      <c r="N195" s="22" t="str">
        <f t="shared" ref="N195:N226" ca="1" si="18">IF(M195="","",M195-TODAY())</f>
        <v/>
      </c>
      <c r="O195" s="6" t="str">
        <f t="shared" ref="O195:O202" si="19">IF(J195="","",IF(J195&lt;=0,"OUT OF STOCK",IF(J195&lt;=K195,"LOW STOCK","OK")))</f>
        <v/>
      </c>
      <c r="P195" s="6" t="str">
        <f t="shared" ref="P195:P202" ca="1" si="20">IF(A195="","",IF(M195="","NO EXPIRY DATE",IF(M195&lt;TODAY(),"EXPIRED",IF(M195-TODAY()&lt;=30,"EXPIRING &lt;=30 DAYS",IF(M195-TODAY()&lt;=90,"EXPIRING &lt;=90 DAYS","OK")))))</f>
        <v/>
      </c>
      <c r="Q195" s="6"/>
      <c r="R195" s="6"/>
      <c r="S195" s="16"/>
      <c r="T195" s="11"/>
    </row>
    <row r="196" spans="1:20">
      <c r="A196" s="10"/>
      <c r="B196" s="6"/>
      <c r="C196" s="6"/>
      <c r="D196" s="6"/>
      <c r="E196" s="6"/>
      <c r="F196" s="6"/>
      <c r="G196" s="6"/>
      <c r="H196" s="6"/>
      <c r="I196" s="19"/>
      <c r="J196" s="19" t="str">
        <f>IF(A196="","",I196+SUMIFS('Chemical Usage Log'!$F$3:$F$202,'Chemical Usage Log'!$C$3:$C$202,A196,'Chemical Usage Log'!$E$3:$E$202,"Received")-SUMIFS('Chemical Usage Log'!$F$3:$F$202,'Chemical Usage Log'!$C$3:$C$202,A196,'Chemical Usage Log'!$E$3:$E$202,"Used")-SUMIFS('Chemical Usage Log'!$F$3:$F$202,'Chemical Usage Log'!$C$3:$C$202,A196,'Chemical Usage Log'!$E$3:$E$202,"Disposed")+SUMIFS('Chemical Usage Log'!$F$3:$F$202,'Chemical Usage Log'!$C$3:$C$202,A196,'Chemical Usage Log'!$E$3:$E$202,"Adjusted"))</f>
        <v/>
      </c>
      <c r="K196" s="19"/>
      <c r="L196" s="16"/>
      <c r="M196" s="16"/>
      <c r="N196" s="22" t="str">
        <f t="shared" ca="1" si="18"/>
        <v/>
      </c>
      <c r="O196" s="6" t="str">
        <f t="shared" si="19"/>
        <v/>
      </c>
      <c r="P196" s="6" t="str">
        <f t="shared" ca="1" si="20"/>
        <v/>
      </c>
      <c r="Q196" s="6"/>
      <c r="R196" s="6"/>
      <c r="S196" s="16"/>
      <c r="T196" s="11"/>
    </row>
    <row r="197" spans="1:20">
      <c r="A197" s="10"/>
      <c r="B197" s="6"/>
      <c r="C197" s="6"/>
      <c r="D197" s="6"/>
      <c r="E197" s="6"/>
      <c r="F197" s="6"/>
      <c r="G197" s="6"/>
      <c r="H197" s="6"/>
      <c r="I197" s="19"/>
      <c r="J197" s="19" t="str">
        <f>IF(A197="","",I197+SUMIFS('Chemical Usage Log'!$F$3:$F$202,'Chemical Usage Log'!$C$3:$C$202,A197,'Chemical Usage Log'!$E$3:$E$202,"Received")-SUMIFS('Chemical Usage Log'!$F$3:$F$202,'Chemical Usage Log'!$C$3:$C$202,A197,'Chemical Usage Log'!$E$3:$E$202,"Used")-SUMIFS('Chemical Usage Log'!$F$3:$F$202,'Chemical Usage Log'!$C$3:$C$202,A197,'Chemical Usage Log'!$E$3:$E$202,"Disposed")+SUMIFS('Chemical Usage Log'!$F$3:$F$202,'Chemical Usage Log'!$C$3:$C$202,A197,'Chemical Usage Log'!$E$3:$E$202,"Adjusted"))</f>
        <v/>
      </c>
      <c r="K197" s="19"/>
      <c r="L197" s="16"/>
      <c r="M197" s="16"/>
      <c r="N197" s="22" t="str">
        <f t="shared" ca="1" si="18"/>
        <v/>
      </c>
      <c r="O197" s="6" t="str">
        <f t="shared" si="19"/>
        <v/>
      </c>
      <c r="P197" s="6" t="str">
        <f t="shared" ca="1" si="20"/>
        <v/>
      </c>
      <c r="Q197" s="6"/>
      <c r="R197" s="6"/>
      <c r="S197" s="16"/>
      <c r="T197" s="11"/>
    </row>
    <row r="198" spans="1:20">
      <c r="A198" s="10"/>
      <c r="B198" s="6"/>
      <c r="C198" s="6"/>
      <c r="D198" s="6"/>
      <c r="E198" s="6"/>
      <c r="F198" s="6"/>
      <c r="G198" s="6"/>
      <c r="H198" s="6"/>
      <c r="I198" s="19"/>
      <c r="J198" s="19" t="str">
        <f>IF(A198="","",I198+SUMIFS('Chemical Usage Log'!$F$3:$F$202,'Chemical Usage Log'!$C$3:$C$202,A198,'Chemical Usage Log'!$E$3:$E$202,"Received")-SUMIFS('Chemical Usage Log'!$F$3:$F$202,'Chemical Usage Log'!$C$3:$C$202,A198,'Chemical Usage Log'!$E$3:$E$202,"Used")-SUMIFS('Chemical Usage Log'!$F$3:$F$202,'Chemical Usage Log'!$C$3:$C$202,A198,'Chemical Usage Log'!$E$3:$E$202,"Disposed")+SUMIFS('Chemical Usage Log'!$F$3:$F$202,'Chemical Usage Log'!$C$3:$C$202,A198,'Chemical Usage Log'!$E$3:$E$202,"Adjusted"))</f>
        <v/>
      </c>
      <c r="K198" s="19"/>
      <c r="L198" s="16"/>
      <c r="M198" s="16"/>
      <c r="N198" s="22" t="str">
        <f t="shared" ca="1" si="18"/>
        <v/>
      </c>
      <c r="O198" s="6" t="str">
        <f t="shared" si="19"/>
        <v/>
      </c>
      <c r="P198" s="6" t="str">
        <f t="shared" ca="1" si="20"/>
        <v/>
      </c>
      <c r="Q198" s="6"/>
      <c r="R198" s="6"/>
      <c r="S198" s="16"/>
      <c r="T198" s="11"/>
    </row>
    <row r="199" spans="1:20">
      <c r="A199" s="10"/>
      <c r="B199" s="6"/>
      <c r="C199" s="6"/>
      <c r="D199" s="6"/>
      <c r="E199" s="6"/>
      <c r="F199" s="6"/>
      <c r="G199" s="6"/>
      <c r="H199" s="6"/>
      <c r="I199" s="19"/>
      <c r="J199" s="19" t="str">
        <f>IF(A199="","",I199+SUMIFS('Chemical Usage Log'!$F$3:$F$202,'Chemical Usage Log'!$C$3:$C$202,A199,'Chemical Usage Log'!$E$3:$E$202,"Received")-SUMIFS('Chemical Usage Log'!$F$3:$F$202,'Chemical Usage Log'!$C$3:$C$202,A199,'Chemical Usage Log'!$E$3:$E$202,"Used")-SUMIFS('Chemical Usage Log'!$F$3:$F$202,'Chemical Usage Log'!$C$3:$C$202,A199,'Chemical Usage Log'!$E$3:$E$202,"Disposed")+SUMIFS('Chemical Usage Log'!$F$3:$F$202,'Chemical Usage Log'!$C$3:$C$202,A199,'Chemical Usage Log'!$E$3:$E$202,"Adjusted"))</f>
        <v/>
      </c>
      <c r="K199" s="19"/>
      <c r="L199" s="16"/>
      <c r="M199" s="16"/>
      <c r="N199" s="22" t="str">
        <f t="shared" ca="1" si="18"/>
        <v/>
      </c>
      <c r="O199" s="6" t="str">
        <f t="shared" si="19"/>
        <v/>
      </c>
      <c r="P199" s="6" t="str">
        <f t="shared" ca="1" si="20"/>
        <v/>
      </c>
      <c r="Q199" s="6"/>
      <c r="R199" s="6"/>
      <c r="S199" s="16"/>
      <c r="T199" s="11"/>
    </row>
    <row r="200" spans="1:20">
      <c r="A200" s="10"/>
      <c r="B200" s="6"/>
      <c r="C200" s="6"/>
      <c r="D200" s="6"/>
      <c r="E200" s="6"/>
      <c r="F200" s="6"/>
      <c r="G200" s="6"/>
      <c r="H200" s="6"/>
      <c r="I200" s="19"/>
      <c r="J200" s="19" t="str">
        <f>IF(A200="","",I200+SUMIFS('Chemical Usage Log'!$F$3:$F$202,'Chemical Usage Log'!$C$3:$C$202,A200,'Chemical Usage Log'!$E$3:$E$202,"Received")-SUMIFS('Chemical Usage Log'!$F$3:$F$202,'Chemical Usage Log'!$C$3:$C$202,A200,'Chemical Usage Log'!$E$3:$E$202,"Used")-SUMIFS('Chemical Usage Log'!$F$3:$F$202,'Chemical Usage Log'!$C$3:$C$202,A200,'Chemical Usage Log'!$E$3:$E$202,"Disposed")+SUMIFS('Chemical Usage Log'!$F$3:$F$202,'Chemical Usage Log'!$C$3:$C$202,A200,'Chemical Usage Log'!$E$3:$E$202,"Adjusted"))</f>
        <v/>
      </c>
      <c r="K200" s="19"/>
      <c r="L200" s="16"/>
      <c r="M200" s="16"/>
      <c r="N200" s="22" t="str">
        <f t="shared" ca="1" si="18"/>
        <v/>
      </c>
      <c r="O200" s="6" t="str">
        <f t="shared" si="19"/>
        <v/>
      </c>
      <c r="P200" s="6" t="str">
        <f t="shared" ca="1" si="20"/>
        <v/>
      </c>
      <c r="Q200" s="6"/>
      <c r="R200" s="6"/>
      <c r="S200" s="16"/>
      <c r="T200" s="11"/>
    </row>
    <row r="201" spans="1:20">
      <c r="A201" s="10"/>
      <c r="B201" s="6"/>
      <c r="C201" s="6"/>
      <c r="D201" s="6"/>
      <c r="E201" s="6"/>
      <c r="F201" s="6"/>
      <c r="G201" s="6"/>
      <c r="H201" s="6"/>
      <c r="I201" s="19"/>
      <c r="J201" s="19" t="str">
        <f>IF(A201="","",I201+SUMIFS('Chemical Usage Log'!$F$3:$F$202,'Chemical Usage Log'!$C$3:$C$202,A201,'Chemical Usage Log'!$E$3:$E$202,"Received")-SUMIFS('Chemical Usage Log'!$F$3:$F$202,'Chemical Usage Log'!$C$3:$C$202,A201,'Chemical Usage Log'!$E$3:$E$202,"Used")-SUMIFS('Chemical Usage Log'!$F$3:$F$202,'Chemical Usage Log'!$C$3:$C$202,A201,'Chemical Usage Log'!$E$3:$E$202,"Disposed")+SUMIFS('Chemical Usage Log'!$F$3:$F$202,'Chemical Usage Log'!$C$3:$C$202,A201,'Chemical Usage Log'!$E$3:$E$202,"Adjusted"))</f>
        <v/>
      </c>
      <c r="K201" s="19"/>
      <c r="L201" s="16"/>
      <c r="M201" s="16"/>
      <c r="N201" s="22" t="str">
        <f t="shared" ca="1" si="18"/>
        <v/>
      </c>
      <c r="O201" s="6" t="str">
        <f t="shared" si="19"/>
        <v/>
      </c>
      <c r="P201" s="6" t="str">
        <f t="shared" ca="1" si="20"/>
        <v/>
      </c>
      <c r="Q201" s="6"/>
      <c r="R201" s="6"/>
      <c r="S201" s="16"/>
      <c r="T201" s="11"/>
    </row>
    <row r="202" spans="1:20">
      <c r="A202" s="12"/>
      <c r="B202" s="13"/>
      <c r="C202" s="13"/>
      <c r="D202" s="13"/>
      <c r="E202" s="13"/>
      <c r="F202" s="13"/>
      <c r="G202" s="13"/>
      <c r="H202" s="13"/>
      <c r="I202" s="20"/>
      <c r="J202" s="20" t="str">
        <f>IF(A202="","",I202+SUMIFS('Chemical Usage Log'!$F$3:$F$202,'Chemical Usage Log'!$C$3:$C$202,A202,'Chemical Usage Log'!$E$3:$E$202,"Received")-SUMIFS('Chemical Usage Log'!$F$3:$F$202,'Chemical Usage Log'!$C$3:$C$202,A202,'Chemical Usage Log'!$E$3:$E$202,"Used")-SUMIFS('Chemical Usage Log'!$F$3:$F$202,'Chemical Usage Log'!$C$3:$C$202,A202,'Chemical Usage Log'!$E$3:$E$202,"Disposed")+SUMIFS('Chemical Usage Log'!$F$3:$F$202,'Chemical Usage Log'!$C$3:$C$202,A202,'Chemical Usage Log'!$E$3:$E$202,"Adjusted"))</f>
        <v/>
      </c>
      <c r="K202" s="20"/>
      <c r="L202" s="17"/>
      <c r="M202" s="17"/>
      <c r="N202" s="23" t="str">
        <f t="shared" ca="1" si="18"/>
        <v/>
      </c>
      <c r="O202" s="13" t="str">
        <f t="shared" si="19"/>
        <v/>
      </c>
      <c r="P202" s="13" t="str">
        <f t="shared" ca="1" si="20"/>
        <v/>
      </c>
      <c r="Q202" s="13"/>
      <c r="R202" s="13"/>
      <c r="S202" s="17"/>
      <c r="T202" s="14"/>
    </row>
  </sheetData>
  <mergeCells count="1">
    <mergeCell ref="A1:T1"/>
  </mergeCells>
  <conditionalFormatting sqref="O3:O202">
    <cfRule type="expression" dxfId="12" priority="1">
      <formula>O3="LOW STOCK"</formula>
    </cfRule>
    <cfRule type="expression" dxfId="11" priority="2">
      <formula>O3="OUT OF STOCK"</formula>
    </cfRule>
  </conditionalFormatting>
  <conditionalFormatting sqref="P3:P202">
    <cfRule type="expression" dxfId="10" priority="3">
      <formula>P3="EXPIRED"</formula>
    </cfRule>
    <cfRule type="expression" dxfId="9" priority="4">
      <formula>P3="EXPIRING &lt;=30 DAYS"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100-000000000000}">
          <x14:formula1>
            <xm:f>Lists!$B$4:$B$12</xm:f>
          </x14:formula1>
          <xm:sqref>G3:G202</xm:sqref>
        </x14:dataValidation>
        <x14:dataValidation type="list" xr:uid="{00000000-0002-0000-0100-000001000000}">
          <x14:formula1>
            <xm:f>Lists!$A$4:$A$10</xm:f>
          </x14:formula1>
          <xm:sqref>H3:H202</xm:sqref>
        </x14:dataValidation>
        <x14:dataValidation type="list" xr:uid="{00000000-0002-0000-0100-000002000000}">
          <x14:formula1>
            <xm:f>Lists!$C$4:$C$5</xm:f>
          </x14:formula1>
          <xm:sqref>Q3:Q202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02"/>
  <sheetViews>
    <sheetView zoomScale="45" workbookViewId="0">
      <selection sqref="A1:K1"/>
    </sheetView>
  </sheetViews>
  <sheetFormatPr defaultRowHeight="13.5"/>
  <cols>
    <col min="1" max="1" width="16" customWidth="1"/>
    <col min="2" max="2" width="13" customWidth="1"/>
    <col min="3" max="3" width="14" customWidth="1"/>
    <col min="4" max="4" width="24" customWidth="1"/>
    <col min="5" max="5" width="15" customWidth="1"/>
    <col min="6" max="6" width="12" customWidth="1"/>
    <col min="7" max="7" width="10" customWidth="1"/>
    <col min="8" max="8" width="18" customWidth="1"/>
    <col min="9" max="9" width="28" customWidth="1"/>
    <col min="10" max="10" width="24" customWidth="1"/>
    <col min="11" max="11" width="28" customWidth="1"/>
  </cols>
  <sheetData>
    <row r="1" spans="1:11" ht="15" customHeight="1">
      <c r="A1" s="39" t="s">
        <v>50</v>
      </c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11" ht="13.9">
      <c r="A2" s="2" t="s">
        <v>51</v>
      </c>
      <c r="B2" s="3" t="s">
        <v>52</v>
      </c>
      <c r="C2" s="3" t="s">
        <v>30</v>
      </c>
      <c r="D2" s="3" t="s">
        <v>31</v>
      </c>
      <c r="E2" s="3" t="s">
        <v>53</v>
      </c>
      <c r="F2" s="3" t="s">
        <v>54</v>
      </c>
      <c r="G2" s="3" t="s">
        <v>37</v>
      </c>
      <c r="H2" s="3" t="s">
        <v>55</v>
      </c>
      <c r="I2" s="3" t="s">
        <v>56</v>
      </c>
      <c r="J2" s="3" t="s">
        <v>57</v>
      </c>
      <c r="K2" s="4" t="s">
        <v>49</v>
      </c>
    </row>
    <row r="3" spans="1:11">
      <c r="A3" s="7"/>
      <c r="B3" s="15"/>
      <c r="C3" s="8"/>
      <c r="D3" s="8" t="str">
        <f>IFERROR(VLOOKUP(C3,'Chemical Inventory'!$A$3:$T$202,2,FALSE),"")</f>
        <v/>
      </c>
      <c r="E3" s="8"/>
      <c r="F3" s="18"/>
      <c r="G3" s="8" t="str">
        <f>IFERROR(VLOOKUP(C3,'Chemical Inventory'!$A$3:$T$202,8,FALSE),"")</f>
        <v/>
      </c>
      <c r="H3" s="8"/>
      <c r="I3" s="8"/>
      <c r="J3" s="8"/>
      <c r="K3" s="9"/>
    </row>
    <row r="4" spans="1:11">
      <c r="A4" s="10"/>
      <c r="B4" s="16"/>
      <c r="C4" s="6"/>
      <c r="D4" s="6" t="str">
        <f>IFERROR(VLOOKUP(C4,'Chemical Inventory'!$A$3:$T$202,2,FALSE),"")</f>
        <v/>
      </c>
      <c r="E4" s="6"/>
      <c r="F4" s="19"/>
      <c r="G4" s="6" t="str">
        <f>IFERROR(VLOOKUP(C4,'Chemical Inventory'!$A$3:$T$202,8,FALSE),"")</f>
        <v/>
      </c>
      <c r="H4" s="6"/>
      <c r="I4" s="6"/>
      <c r="J4" s="6"/>
      <c r="K4" s="11"/>
    </row>
    <row r="5" spans="1:11">
      <c r="A5" s="10"/>
      <c r="B5" s="16"/>
      <c r="C5" s="6"/>
      <c r="D5" s="6" t="str">
        <f>IFERROR(VLOOKUP(C5,'Chemical Inventory'!$A$3:$T$202,2,FALSE),"")</f>
        <v/>
      </c>
      <c r="E5" s="6"/>
      <c r="F5" s="19"/>
      <c r="G5" s="6" t="str">
        <f>IFERROR(VLOOKUP(C5,'Chemical Inventory'!$A$3:$T$202,8,FALSE),"")</f>
        <v/>
      </c>
      <c r="H5" s="6"/>
      <c r="I5" s="6"/>
      <c r="J5" s="6"/>
      <c r="K5" s="11"/>
    </row>
    <row r="6" spans="1:11">
      <c r="A6" s="10"/>
      <c r="B6" s="16"/>
      <c r="C6" s="6"/>
      <c r="D6" s="6" t="str">
        <f>IFERROR(VLOOKUP(C6,'Chemical Inventory'!$A$3:$T$202,2,FALSE),"")</f>
        <v/>
      </c>
      <c r="E6" s="6"/>
      <c r="F6" s="19"/>
      <c r="G6" s="6" t="str">
        <f>IFERROR(VLOOKUP(C6,'Chemical Inventory'!$A$3:$T$202,8,FALSE),"")</f>
        <v/>
      </c>
      <c r="H6" s="6"/>
      <c r="I6" s="6"/>
      <c r="J6" s="6"/>
      <c r="K6" s="11"/>
    </row>
    <row r="7" spans="1:11">
      <c r="A7" s="10"/>
      <c r="B7" s="16"/>
      <c r="C7" s="6"/>
      <c r="D7" s="6" t="str">
        <f>IFERROR(VLOOKUP(C7,'Chemical Inventory'!$A$3:$T$202,2,FALSE),"")</f>
        <v/>
      </c>
      <c r="E7" s="6"/>
      <c r="F7" s="19"/>
      <c r="G7" s="6" t="str">
        <f>IFERROR(VLOOKUP(C7,'Chemical Inventory'!$A$3:$T$202,8,FALSE),"")</f>
        <v/>
      </c>
      <c r="H7" s="6"/>
      <c r="I7" s="6"/>
      <c r="J7" s="6"/>
      <c r="K7" s="11"/>
    </row>
    <row r="8" spans="1:11">
      <c r="A8" s="10"/>
      <c r="B8" s="16"/>
      <c r="C8" s="6"/>
      <c r="D8" s="6" t="str">
        <f>IFERROR(VLOOKUP(C8,'Chemical Inventory'!$A$3:$T$202,2,FALSE),"")</f>
        <v/>
      </c>
      <c r="E8" s="6"/>
      <c r="F8" s="19"/>
      <c r="G8" s="6" t="str">
        <f>IFERROR(VLOOKUP(C8,'Chemical Inventory'!$A$3:$T$202,8,FALSE),"")</f>
        <v/>
      </c>
      <c r="H8" s="6"/>
      <c r="I8" s="6"/>
      <c r="J8" s="6"/>
      <c r="K8" s="11"/>
    </row>
    <row r="9" spans="1:11">
      <c r="A9" s="10"/>
      <c r="B9" s="16"/>
      <c r="C9" s="6"/>
      <c r="D9" s="6" t="str">
        <f>IFERROR(VLOOKUP(C9,'Chemical Inventory'!$A$3:$T$202,2,FALSE),"")</f>
        <v/>
      </c>
      <c r="E9" s="6"/>
      <c r="F9" s="19"/>
      <c r="G9" s="6" t="str">
        <f>IFERROR(VLOOKUP(C9,'Chemical Inventory'!$A$3:$T$202,8,FALSE),"")</f>
        <v/>
      </c>
      <c r="H9" s="6"/>
      <c r="I9" s="6"/>
      <c r="J9" s="6"/>
      <c r="K9" s="11"/>
    </row>
    <row r="10" spans="1:11">
      <c r="A10" s="10"/>
      <c r="B10" s="16"/>
      <c r="C10" s="6"/>
      <c r="D10" s="6" t="str">
        <f>IFERROR(VLOOKUP(C10,'Chemical Inventory'!$A$3:$T$202,2,FALSE),"")</f>
        <v/>
      </c>
      <c r="E10" s="6"/>
      <c r="F10" s="19"/>
      <c r="G10" s="6" t="str">
        <f>IFERROR(VLOOKUP(C10,'Chemical Inventory'!$A$3:$T$202,8,FALSE),"")</f>
        <v/>
      </c>
      <c r="H10" s="6"/>
      <c r="I10" s="6"/>
      <c r="J10" s="6"/>
      <c r="K10" s="11"/>
    </row>
    <row r="11" spans="1:11">
      <c r="A11" s="10"/>
      <c r="B11" s="16"/>
      <c r="C11" s="6"/>
      <c r="D11" s="6" t="str">
        <f>IFERROR(VLOOKUP(C11,'Chemical Inventory'!$A$3:$T$202,2,FALSE),"")</f>
        <v/>
      </c>
      <c r="E11" s="6"/>
      <c r="F11" s="19"/>
      <c r="G11" s="6" t="str">
        <f>IFERROR(VLOOKUP(C11,'Chemical Inventory'!$A$3:$T$202,8,FALSE),"")</f>
        <v/>
      </c>
      <c r="H11" s="6"/>
      <c r="I11" s="6"/>
      <c r="J11" s="6"/>
      <c r="K11" s="11"/>
    </row>
    <row r="12" spans="1:11">
      <c r="A12" s="10"/>
      <c r="B12" s="16"/>
      <c r="C12" s="6"/>
      <c r="D12" s="6" t="str">
        <f>IFERROR(VLOOKUP(C12,'Chemical Inventory'!$A$3:$T$202,2,FALSE),"")</f>
        <v/>
      </c>
      <c r="E12" s="6"/>
      <c r="F12" s="19"/>
      <c r="G12" s="6" t="str">
        <f>IFERROR(VLOOKUP(C12,'Chemical Inventory'!$A$3:$T$202,8,FALSE),"")</f>
        <v/>
      </c>
      <c r="H12" s="6"/>
      <c r="I12" s="6"/>
      <c r="J12" s="6"/>
      <c r="K12" s="11"/>
    </row>
    <row r="13" spans="1:11">
      <c r="A13" s="10"/>
      <c r="B13" s="16"/>
      <c r="C13" s="6"/>
      <c r="D13" s="6" t="str">
        <f>IFERROR(VLOOKUP(C13,'Chemical Inventory'!$A$3:$T$202,2,FALSE),"")</f>
        <v/>
      </c>
      <c r="E13" s="6"/>
      <c r="F13" s="19"/>
      <c r="G13" s="6" t="str">
        <f>IFERROR(VLOOKUP(C13,'Chemical Inventory'!$A$3:$T$202,8,FALSE),"")</f>
        <v/>
      </c>
      <c r="H13" s="6"/>
      <c r="I13" s="6"/>
      <c r="J13" s="6"/>
      <c r="K13" s="11"/>
    </row>
    <row r="14" spans="1:11">
      <c r="A14" s="10"/>
      <c r="B14" s="16"/>
      <c r="C14" s="6"/>
      <c r="D14" s="6" t="str">
        <f>IFERROR(VLOOKUP(C14,'Chemical Inventory'!$A$3:$T$202,2,FALSE),"")</f>
        <v/>
      </c>
      <c r="E14" s="6"/>
      <c r="F14" s="19"/>
      <c r="G14" s="6" t="str">
        <f>IFERROR(VLOOKUP(C14,'Chemical Inventory'!$A$3:$T$202,8,FALSE),"")</f>
        <v/>
      </c>
      <c r="H14" s="6"/>
      <c r="I14" s="6"/>
      <c r="J14" s="6"/>
      <c r="K14" s="11"/>
    </row>
    <row r="15" spans="1:11">
      <c r="A15" s="10"/>
      <c r="B15" s="16"/>
      <c r="C15" s="6"/>
      <c r="D15" s="6" t="str">
        <f>IFERROR(VLOOKUP(C15,'Chemical Inventory'!$A$3:$T$202,2,FALSE),"")</f>
        <v/>
      </c>
      <c r="E15" s="6"/>
      <c r="F15" s="19"/>
      <c r="G15" s="6" t="str">
        <f>IFERROR(VLOOKUP(C15,'Chemical Inventory'!$A$3:$T$202,8,FALSE),"")</f>
        <v/>
      </c>
      <c r="H15" s="6"/>
      <c r="I15" s="6"/>
      <c r="J15" s="6"/>
      <c r="K15" s="11"/>
    </row>
    <row r="16" spans="1:11">
      <c r="A16" s="10"/>
      <c r="B16" s="16"/>
      <c r="C16" s="6"/>
      <c r="D16" s="6" t="str">
        <f>IFERROR(VLOOKUP(C16,'Chemical Inventory'!$A$3:$T$202,2,FALSE),"")</f>
        <v/>
      </c>
      <c r="E16" s="6"/>
      <c r="F16" s="19"/>
      <c r="G16" s="6" t="str">
        <f>IFERROR(VLOOKUP(C16,'Chemical Inventory'!$A$3:$T$202,8,FALSE),"")</f>
        <v/>
      </c>
      <c r="H16" s="6"/>
      <c r="I16" s="6"/>
      <c r="J16" s="6"/>
      <c r="K16" s="11"/>
    </row>
    <row r="17" spans="1:11">
      <c r="A17" s="10"/>
      <c r="B17" s="16"/>
      <c r="C17" s="6"/>
      <c r="D17" s="6" t="str">
        <f>IFERROR(VLOOKUP(C17,'Chemical Inventory'!$A$3:$T$202,2,FALSE),"")</f>
        <v/>
      </c>
      <c r="E17" s="6"/>
      <c r="F17" s="19"/>
      <c r="G17" s="6" t="str">
        <f>IFERROR(VLOOKUP(C17,'Chemical Inventory'!$A$3:$T$202,8,FALSE),"")</f>
        <v/>
      </c>
      <c r="H17" s="6"/>
      <c r="I17" s="6"/>
      <c r="J17" s="6"/>
      <c r="K17" s="11"/>
    </row>
    <row r="18" spans="1:11">
      <c r="A18" s="10"/>
      <c r="B18" s="16"/>
      <c r="C18" s="6"/>
      <c r="D18" s="6" t="str">
        <f>IFERROR(VLOOKUP(C18,'Chemical Inventory'!$A$3:$T$202,2,FALSE),"")</f>
        <v/>
      </c>
      <c r="E18" s="6"/>
      <c r="F18" s="19"/>
      <c r="G18" s="6" t="str">
        <f>IFERROR(VLOOKUP(C18,'Chemical Inventory'!$A$3:$T$202,8,FALSE),"")</f>
        <v/>
      </c>
      <c r="H18" s="6"/>
      <c r="I18" s="6"/>
      <c r="J18" s="6"/>
      <c r="K18" s="11"/>
    </row>
    <row r="19" spans="1:11">
      <c r="A19" s="10"/>
      <c r="B19" s="16"/>
      <c r="C19" s="6"/>
      <c r="D19" s="6" t="str">
        <f>IFERROR(VLOOKUP(C19,'Chemical Inventory'!$A$3:$T$202,2,FALSE),"")</f>
        <v/>
      </c>
      <c r="E19" s="6"/>
      <c r="F19" s="19"/>
      <c r="G19" s="6" t="str">
        <f>IFERROR(VLOOKUP(C19,'Chemical Inventory'!$A$3:$T$202,8,FALSE),"")</f>
        <v/>
      </c>
      <c r="H19" s="6"/>
      <c r="I19" s="6"/>
      <c r="J19" s="6"/>
      <c r="K19" s="11"/>
    </row>
    <row r="20" spans="1:11">
      <c r="A20" s="10"/>
      <c r="B20" s="16"/>
      <c r="C20" s="6"/>
      <c r="D20" s="6" t="str">
        <f>IFERROR(VLOOKUP(C20,'Chemical Inventory'!$A$3:$T$202,2,FALSE),"")</f>
        <v/>
      </c>
      <c r="E20" s="6"/>
      <c r="F20" s="19"/>
      <c r="G20" s="6" t="str">
        <f>IFERROR(VLOOKUP(C20,'Chemical Inventory'!$A$3:$T$202,8,FALSE),"")</f>
        <v/>
      </c>
      <c r="H20" s="6"/>
      <c r="I20" s="6"/>
      <c r="J20" s="6"/>
      <c r="K20" s="11"/>
    </row>
    <row r="21" spans="1:11">
      <c r="A21" s="10"/>
      <c r="B21" s="16"/>
      <c r="C21" s="6"/>
      <c r="D21" s="6" t="str">
        <f>IFERROR(VLOOKUP(C21,'Chemical Inventory'!$A$3:$T$202,2,FALSE),"")</f>
        <v/>
      </c>
      <c r="E21" s="6"/>
      <c r="F21" s="19"/>
      <c r="G21" s="6" t="str">
        <f>IFERROR(VLOOKUP(C21,'Chemical Inventory'!$A$3:$T$202,8,FALSE),"")</f>
        <v/>
      </c>
      <c r="H21" s="6"/>
      <c r="I21" s="6"/>
      <c r="J21" s="6"/>
      <c r="K21" s="11"/>
    </row>
    <row r="22" spans="1:11">
      <c r="A22" s="10"/>
      <c r="B22" s="16"/>
      <c r="C22" s="6"/>
      <c r="D22" s="6" t="str">
        <f>IFERROR(VLOOKUP(C22,'Chemical Inventory'!$A$3:$T$202,2,FALSE),"")</f>
        <v/>
      </c>
      <c r="E22" s="6"/>
      <c r="F22" s="19"/>
      <c r="G22" s="6" t="str">
        <f>IFERROR(VLOOKUP(C22,'Chemical Inventory'!$A$3:$T$202,8,FALSE),"")</f>
        <v/>
      </c>
      <c r="H22" s="6"/>
      <c r="I22" s="6"/>
      <c r="J22" s="6"/>
      <c r="K22" s="11"/>
    </row>
    <row r="23" spans="1:11">
      <c r="A23" s="10"/>
      <c r="B23" s="16"/>
      <c r="C23" s="6"/>
      <c r="D23" s="6" t="str">
        <f>IFERROR(VLOOKUP(C23,'Chemical Inventory'!$A$3:$T$202,2,FALSE),"")</f>
        <v/>
      </c>
      <c r="E23" s="6"/>
      <c r="F23" s="19"/>
      <c r="G23" s="6" t="str">
        <f>IFERROR(VLOOKUP(C23,'Chemical Inventory'!$A$3:$T$202,8,FALSE),"")</f>
        <v/>
      </c>
      <c r="H23" s="6"/>
      <c r="I23" s="6"/>
      <c r="J23" s="6"/>
      <c r="K23" s="11"/>
    </row>
    <row r="24" spans="1:11">
      <c r="A24" s="10"/>
      <c r="B24" s="16"/>
      <c r="C24" s="6"/>
      <c r="D24" s="6" t="str">
        <f>IFERROR(VLOOKUP(C24,'Chemical Inventory'!$A$3:$T$202,2,FALSE),"")</f>
        <v/>
      </c>
      <c r="E24" s="6"/>
      <c r="F24" s="19"/>
      <c r="G24" s="6" t="str">
        <f>IFERROR(VLOOKUP(C24,'Chemical Inventory'!$A$3:$T$202,8,FALSE),"")</f>
        <v/>
      </c>
      <c r="H24" s="6"/>
      <c r="I24" s="6"/>
      <c r="J24" s="6"/>
      <c r="K24" s="11"/>
    </row>
    <row r="25" spans="1:11">
      <c r="A25" s="10"/>
      <c r="B25" s="16"/>
      <c r="C25" s="6"/>
      <c r="D25" s="6" t="str">
        <f>IFERROR(VLOOKUP(C25,'Chemical Inventory'!$A$3:$T$202,2,FALSE),"")</f>
        <v/>
      </c>
      <c r="E25" s="6"/>
      <c r="F25" s="19"/>
      <c r="G25" s="6" t="str">
        <f>IFERROR(VLOOKUP(C25,'Chemical Inventory'!$A$3:$T$202,8,FALSE),"")</f>
        <v/>
      </c>
      <c r="H25" s="6"/>
      <c r="I25" s="6"/>
      <c r="J25" s="6"/>
      <c r="K25" s="11"/>
    </row>
    <row r="26" spans="1:11">
      <c r="A26" s="10"/>
      <c r="B26" s="16"/>
      <c r="C26" s="6"/>
      <c r="D26" s="6" t="str">
        <f>IFERROR(VLOOKUP(C26,'Chemical Inventory'!$A$3:$T$202,2,FALSE),"")</f>
        <v/>
      </c>
      <c r="E26" s="6"/>
      <c r="F26" s="19"/>
      <c r="G26" s="6" t="str">
        <f>IFERROR(VLOOKUP(C26,'Chemical Inventory'!$A$3:$T$202,8,FALSE),"")</f>
        <v/>
      </c>
      <c r="H26" s="6"/>
      <c r="I26" s="6"/>
      <c r="J26" s="6"/>
      <c r="K26" s="11"/>
    </row>
    <row r="27" spans="1:11">
      <c r="A27" s="10"/>
      <c r="B27" s="16"/>
      <c r="C27" s="6"/>
      <c r="D27" s="6" t="str">
        <f>IFERROR(VLOOKUP(C27,'Chemical Inventory'!$A$3:$T$202,2,FALSE),"")</f>
        <v/>
      </c>
      <c r="E27" s="6"/>
      <c r="F27" s="19"/>
      <c r="G27" s="6" t="str">
        <f>IFERROR(VLOOKUP(C27,'Chemical Inventory'!$A$3:$T$202,8,FALSE),"")</f>
        <v/>
      </c>
      <c r="H27" s="6"/>
      <c r="I27" s="6"/>
      <c r="J27" s="6"/>
      <c r="K27" s="11"/>
    </row>
    <row r="28" spans="1:11">
      <c r="A28" s="10"/>
      <c r="B28" s="16"/>
      <c r="C28" s="6"/>
      <c r="D28" s="6" t="str">
        <f>IFERROR(VLOOKUP(C28,'Chemical Inventory'!$A$3:$T$202,2,FALSE),"")</f>
        <v/>
      </c>
      <c r="E28" s="6"/>
      <c r="F28" s="19"/>
      <c r="G28" s="6" t="str">
        <f>IFERROR(VLOOKUP(C28,'Chemical Inventory'!$A$3:$T$202,8,FALSE),"")</f>
        <v/>
      </c>
      <c r="H28" s="6"/>
      <c r="I28" s="6"/>
      <c r="J28" s="6"/>
      <c r="K28" s="11"/>
    </row>
    <row r="29" spans="1:11">
      <c r="A29" s="10"/>
      <c r="B29" s="16"/>
      <c r="C29" s="6"/>
      <c r="D29" s="6" t="str">
        <f>IFERROR(VLOOKUP(C29,'Chemical Inventory'!$A$3:$T$202,2,FALSE),"")</f>
        <v/>
      </c>
      <c r="E29" s="6"/>
      <c r="F29" s="19"/>
      <c r="G29" s="6" t="str">
        <f>IFERROR(VLOOKUP(C29,'Chemical Inventory'!$A$3:$T$202,8,FALSE),"")</f>
        <v/>
      </c>
      <c r="H29" s="6"/>
      <c r="I29" s="6"/>
      <c r="J29" s="6"/>
      <c r="K29" s="11"/>
    </row>
    <row r="30" spans="1:11">
      <c r="A30" s="10"/>
      <c r="B30" s="16"/>
      <c r="C30" s="6"/>
      <c r="D30" s="6" t="str">
        <f>IFERROR(VLOOKUP(C30,'Chemical Inventory'!$A$3:$T$202,2,FALSE),"")</f>
        <v/>
      </c>
      <c r="E30" s="6"/>
      <c r="F30" s="19"/>
      <c r="G30" s="6" t="str">
        <f>IFERROR(VLOOKUP(C30,'Chemical Inventory'!$A$3:$T$202,8,FALSE),"")</f>
        <v/>
      </c>
      <c r="H30" s="6"/>
      <c r="I30" s="6"/>
      <c r="J30" s="6"/>
      <c r="K30" s="11"/>
    </row>
    <row r="31" spans="1:11">
      <c r="A31" s="10"/>
      <c r="B31" s="16"/>
      <c r="C31" s="6"/>
      <c r="D31" s="6" t="str">
        <f>IFERROR(VLOOKUP(C31,'Chemical Inventory'!$A$3:$T$202,2,FALSE),"")</f>
        <v/>
      </c>
      <c r="E31" s="6"/>
      <c r="F31" s="19"/>
      <c r="G31" s="6" t="str">
        <f>IFERROR(VLOOKUP(C31,'Chemical Inventory'!$A$3:$T$202,8,FALSE),"")</f>
        <v/>
      </c>
      <c r="H31" s="6"/>
      <c r="I31" s="6"/>
      <c r="J31" s="6"/>
      <c r="K31" s="11"/>
    </row>
    <row r="32" spans="1:11">
      <c r="A32" s="10"/>
      <c r="B32" s="16"/>
      <c r="C32" s="6"/>
      <c r="D32" s="6" t="str">
        <f>IFERROR(VLOOKUP(C32,'Chemical Inventory'!$A$3:$T$202,2,FALSE),"")</f>
        <v/>
      </c>
      <c r="E32" s="6"/>
      <c r="F32" s="19"/>
      <c r="G32" s="6" t="str">
        <f>IFERROR(VLOOKUP(C32,'Chemical Inventory'!$A$3:$T$202,8,FALSE),"")</f>
        <v/>
      </c>
      <c r="H32" s="6"/>
      <c r="I32" s="6"/>
      <c r="J32" s="6"/>
      <c r="K32" s="11"/>
    </row>
    <row r="33" spans="1:11">
      <c r="A33" s="10"/>
      <c r="B33" s="16"/>
      <c r="C33" s="6"/>
      <c r="D33" s="6" t="str">
        <f>IFERROR(VLOOKUP(C33,'Chemical Inventory'!$A$3:$T$202,2,FALSE),"")</f>
        <v/>
      </c>
      <c r="E33" s="6"/>
      <c r="F33" s="19"/>
      <c r="G33" s="6" t="str">
        <f>IFERROR(VLOOKUP(C33,'Chemical Inventory'!$A$3:$T$202,8,FALSE),"")</f>
        <v/>
      </c>
      <c r="H33" s="6"/>
      <c r="I33" s="6"/>
      <c r="J33" s="6"/>
      <c r="K33" s="11"/>
    </row>
    <row r="34" spans="1:11">
      <c r="A34" s="10"/>
      <c r="B34" s="16"/>
      <c r="C34" s="6"/>
      <c r="D34" s="6" t="str">
        <f>IFERROR(VLOOKUP(C34,'Chemical Inventory'!$A$3:$T$202,2,FALSE),"")</f>
        <v/>
      </c>
      <c r="E34" s="6"/>
      <c r="F34" s="19"/>
      <c r="G34" s="6" t="str">
        <f>IFERROR(VLOOKUP(C34,'Chemical Inventory'!$A$3:$T$202,8,FALSE),"")</f>
        <v/>
      </c>
      <c r="H34" s="6"/>
      <c r="I34" s="6"/>
      <c r="J34" s="6"/>
      <c r="K34" s="11"/>
    </row>
    <row r="35" spans="1:11">
      <c r="A35" s="10"/>
      <c r="B35" s="16"/>
      <c r="C35" s="6"/>
      <c r="D35" s="6" t="str">
        <f>IFERROR(VLOOKUP(C35,'Chemical Inventory'!$A$3:$T$202,2,FALSE),"")</f>
        <v/>
      </c>
      <c r="E35" s="6"/>
      <c r="F35" s="19"/>
      <c r="G35" s="6" t="str">
        <f>IFERROR(VLOOKUP(C35,'Chemical Inventory'!$A$3:$T$202,8,FALSE),"")</f>
        <v/>
      </c>
      <c r="H35" s="6"/>
      <c r="I35" s="6"/>
      <c r="J35" s="6"/>
      <c r="K35" s="11"/>
    </row>
    <row r="36" spans="1:11">
      <c r="A36" s="10"/>
      <c r="B36" s="16"/>
      <c r="C36" s="6"/>
      <c r="D36" s="6" t="str">
        <f>IFERROR(VLOOKUP(C36,'Chemical Inventory'!$A$3:$T$202,2,FALSE),"")</f>
        <v/>
      </c>
      <c r="E36" s="6"/>
      <c r="F36" s="19"/>
      <c r="G36" s="6" t="str">
        <f>IFERROR(VLOOKUP(C36,'Chemical Inventory'!$A$3:$T$202,8,FALSE),"")</f>
        <v/>
      </c>
      <c r="H36" s="6"/>
      <c r="I36" s="6"/>
      <c r="J36" s="6"/>
      <c r="K36" s="11"/>
    </row>
    <row r="37" spans="1:11">
      <c r="A37" s="10"/>
      <c r="B37" s="16"/>
      <c r="C37" s="6"/>
      <c r="D37" s="6" t="str">
        <f>IFERROR(VLOOKUP(C37,'Chemical Inventory'!$A$3:$T$202,2,FALSE),"")</f>
        <v/>
      </c>
      <c r="E37" s="6"/>
      <c r="F37" s="19"/>
      <c r="G37" s="6" t="str">
        <f>IFERROR(VLOOKUP(C37,'Chemical Inventory'!$A$3:$T$202,8,FALSE),"")</f>
        <v/>
      </c>
      <c r="H37" s="6"/>
      <c r="I37" s="6"/>
      <c r="J37" s="6"/>
      <c r="K37" s="11"/>
    </row>
    <row r="38" spans="1:11">
      <c r="A38" s="10"/>
      <c r="B38" s="16"/>
      <c r="C38" s="6"/>
      <c r="D38" s="6" t="str">
        <f>IFERROR(VLOOKUP(C38,'Chemical Inventory'!$A$3:$T$202,2,FALSE),"")</f>
        <v/>
      </c>
      <c r="E38" s="6"/>
      <c r="F38" s="19"/>
      <c r="G38" s="6" t="str">
        <f>IFERROR(VLOOKUP(C38,'Chemical Inventory'!$A$3:$T$202,8,FALSE),"")</f>
        <v/>
      </c>
      <c r="H38" s="6"/>
      <c r="I38" s="6"/>
      <c r="J38" s="6"/>
      <c r="K38" s="11"/>
    </row>
    <row r="39" spans="1:11">
      <c r="A39" s="10"/>
      <c r="B39" s="16"/>
      <c r="C39" s="6"/>
      <c r="D39" s="6" t="str">
        <f>IFERROR(VLOOKUP(C39,'Chemical Inventory'!$A$3:$T$202,2,FALSE),"")</f>
        <v/>
      </c>
      <c r="E39" s="6"/>
      <c r="F39" s="19"/>
      <c r="G39" s="6" t="str">
        <f>IFERROR(VLOOKUP(C39,'Chemical Inventory'!$A$3:$T$202,8,FALSE),"")</f>
        <v/>
      </c>
      <c r="H39" s="6"/>
      <c r="I39" s="6"/>
      <c r="J39" s="6"/>
      <c r="K39" s="11"/>
    </row>
    <row r="40" spans="1:11">
      <c r="A40" s="10"/>
      <c r="B40" s="16"/>
      <c r="C40" s="6"/>
      <c r="D40" s="6" t="str">
        <f>IFERROR(VLOOKUP(C40,'Chemical Inventory'!$A$3:$T$202,2,FALSE),"")</f>
        <v/>
      </c>
      <c r="E40" s="6"/>
      <c r="F40" s="19"/>
      <c r="G40" s="6" t="str">
        <f>IFERROR(VLOOKUP(C40,'Chemical Inventory'!$A$3:$T$202,8,FALSE),"")</f>
        <v/>
      </c>
      <c r="H40" s="6"/>
      <c r="I40" s="6"/>
      <c r="J40" s="6"/>
      <c r="K40" s="11"/>
    </row>
    <row r="41" spans="1:11">
      <c r="A41" s="10"/>
      <c r="B41" s="16"/>
      <c r="C41" s="6"/>
      <c r="D41" s="6" t="str">
        <f>IFERROR(VLOOKUP(C41,'Chemical Inventory'!$A$3:$T$202,2,FALSE),"")</f>
        <v/>
      </c>
      <c r="E41" s="6"/>
      <c r="F41" s="19"/>
      <c r="G41" s="6" t="str">
        <f>IFERROR(VLOOKUP(C41,'Chemical Inventory'!$A$3:$T$202,8,FALSE),"")</f>
        <v/>
      </c>
      <c r="H41" s="6"/>
      <c r="I41" s="6"/>
      <c r="J41" s="6"/>
      <c r="K41" s="11"/>
    </row>
    <row r="42" spans="1:11">
      <c r="A42" s="10"/>
      <c r="B42" s="16"/>
      <c r="C42" s="6"/>
      <c r="D42" s="6" t="str">
        <f>IFERROR(VLOOKUP(C42,'Chemical Inventory'!$A$3:$T$202,2,FALSE),"")</f>
        <v/>
      </c>
      <c r="E42" s="6"/>
      <c r="F42" s="19"/>
      <c r="G42" s="6" t="str">
        <f>IFERROR(VLOOKUP(C42,'Chemical Inventory'!$A$3:$T$202,8,FALSE),"")</f>
        <v/>
      </c>
      <c r="H42" s="6"/>
      <c r="I42" s="6"/>
      <c r="J42" s="6"/>
      <c r="K42" s="11"/>
    </row>
    <row r="43" spans="1:11">
      <c r="A43" s="10"/>
      <c r="B43" s="16"/>
      <c r="C43" s="6"/>
      <c r="D43" s="6" t="str">
        <f>IFERROR(VLOOKUP(C43,'Chemical Inventory'!$A$3:$T$202,2,FALSE),"")</f>
        <v/>
      </c>
      <c r="E43" s="6"/>
      <c r="F43" s="19"/>
      <c r="G43" s="6" t="str">
        <f>IFERROR(VLOOKUP(C43,'Chemical Inventory'!$A$3:$T$202,8,FALSE),"")</f>
        <v/>
      </c>
      <c r="H43" s="6"/>
      <c r="I43" s="6"/>
      <c r="J43" s="6"/>
      <c r="K43" s="11"/>
    </row>
    <row r="44" spans="1:11">
      <c r="A44" s="10"/>
      <c r="B44" s="16"/>
      <c r="C44" s="6"/>
      <c r="D44" s="6" t="str">
        <f>IFERROR(VLOOKUP(C44,'Chemical Inventory'!$A$3:$T$202,2,FALSE),"")</f>
        <v/>
      </c>
      <c r="E44" s="6"/>
      <c r="F44" s="19"/>
      <c r="G44" s="6" t="str">
        <f>IFERROR(VLOOKUP(C44,'Chemical Inventory'!$A$3:$T$202,8,FALSE),"")</f>
        <v/>
      </c>
      <c r="H44" s="6"/>
      <c r="I44" s="6"/>
      <c r="J44" s="6"/>
      <c r="K44" s="11"/>
    </row>
    <row r="45" spans="1:11">
      <c r="A45" s="10"/>
      <c r="B45" s="16"/>
      <c r="C45" s="6"/>
      <c r="D45" s="6" t="str">
        <f>IFERROR(VLOOKUP(C45,'Chemical Inventory'!$A$3:$T$202,2,FALSE),"")</f>
        <v/>
      </c>
      <c r="E45" s="6"/>
      <c r="F45" s="19"/>
      <c r="G45" s="6" t="str">
        <f>IFERROR(VLOOKUP(C45,'Chemical Inventory'!$A$3:$T$202,8,FALSE),"")</f>
        <v/>
      </c>
      <c r="H45" s="6"/>
      <c r="I45" s="6"/>
      <c r="J45" s="6"/>
      <c r="K45" s="11"/>
    </row>
    <row r="46" spans="1:11">
      <c r="A46" s="10"/>
      <c r="B46" s="16"/>
      <c r="C46" s="6"/>
      <c r="D46" s="6" t="str">
        <f>IFERROR(VLOOKUP(C46,'Chemical Inventory'!$A$3:$T$202,2,FALSE),"")</f>
        <v/>
      </c>
      <c r="E46" s="6"/>
      <c r="F46" s="19"/>
      <c r="G46" s="6" t="str">
        <f>IFERROR(VLOOKUP(C46,'Chemical Inventory'!$A$3:$T$202,8,FALSE),"")</f>
        <v/>
      </c>
      <c r="H46" s="6"/>
      <c r="I46" s="6"/>
      <c r="J46" s="6"/>
      <c r="K46" s="11"/>
    </row>
    <row r="47" spans="1:11">
      <c r="A47" s="10"/>
      <c r="B47" s="16"/>
      <c r="C47" s="6"/>
      <c r="D47" s="6" t="str">
        <f>IFERROR(VLOOKUP(C47,'Chemical Inventory'!$A$3:$T$202,2,FALSE),"")</f>
        <v/>
      </c>
      <c r="E47" s="6"/>
      <c r="F47" s="19"/>
      <c r="G47" s="6" t="str">
        <f>IFERROR(VLOOKUP(C47,'Chemical Inventory'!$A$3:$T$202,8,FALSE),"")</f>
        <v/>
      </c>
      <c r="H47" s="6"/>
      <c r="I47" s="6"/>
      <c r="J47" s="6"/>
      <c r="K47" s="11"/>
    </row>
    <row r="48" spans="1:11">
      <c r="A48" s="10"/>
      <c r="B48" s="16"/>
      <c r="C48" s="6"/>
      <c r="D48" s="6" t="str">
        <f>IFERROR(VLOOKUP(C48,'Chemical Inventory'!$A$3:$T$202,2,FALSE),"")</f>
        <v/>
      </c>
      <c r="E48" s="6"/>
      <c r="F48" s="19"/>
      <c r="G48" s="6" t="str">
        <f>IFERROR(VLOOKUP(C48,'Chemical Inventory'!$A$3:$T$202,8,FALSE),"")</f>
        <v/>
      </c>
      <c r="H48" s="6"/>
      <c r="I48" s="6"/>
      <c r="J48" s="6"/>
      <c r="K48" s="11"/>
    </row>
    <row r="49" spans="1:11">
      <c r="A49" s="10"/>
      <c r="B49" s="16"/>
      <c r="C49" s="6"/>
      <c r="D49" s="6" t="str">
        <f>IFERROR(VLOOKUP(C49,'Chemical Inventory'!$A$3:$T$202,2,FALSE),"")</f>
        <v/>
      </c>
      <c r="E49" s="6"/>
      <c r="F49" s="19"/>
      <c r="G49" s="6" t="str">
        <f>IFERROR(VLOOKUP(C49,'Chemical Inventory'!$A$3:$T$202,8,FALSE),"")</f>
        <v/>
      </c>
      <c r="H49" s="6"/>
      <c r="I49" s="6"/>
      <c r="J49" s="6"/>
      <c r="K49" s="11"/>
    </row>
    <row r="50" spans="1:11">
      <c r="A50" s="10"/>
      <c r="B50" s="16"/>
      <c r="C50" s="6"/>
      <c r="D50" s="6" t="str">
        <f>IFERROR(VLOOKUP(C50,'Chemical Inventory'!$A$3:$T$202,2,FALSE),"")</f>
        <v/>
      </c>
      <c r="E50" s="6"/>
      <c r="F50" s="19"/>
      <c r="G50" s="6" t="str">
        <f>IFERROR(VLOOKUP(C50,'Chemical Inventory'!$A$3:$T$202,8,FALSE),"")</f>
        <v/>
      </c>
      <c r="H50" s="6"/>
      <c r="I50" s="6"/>
      <c r="J50" s="6"/>
      <c r="K50" s="11"/>
    </row>
    <row r="51" spans="1:11">
      <c r="A51" s="10"/>
      <c r="B51" s="16"/>
      <c r="C51" s="6"/>
      <c r="D51" s="6" t="str">
        <f>IFERROR(VLOOKUP(C51,'Chemical Inventory'!$A$3:$T$202,2,FALSE),"")</f>
        <v/>
      </c>
      <c r="E51" s="6"/>
      <c r="F51" s="19"/>
      <c r="G51" s="6" t="str">
        <f>IFERROR(VLOOKUP(C51,'Chemical Inventory'!$A$3:$T$202,8,FALSE),"")</f>
        <v/>
      </c>
      <c r="H51" s="6"/>
      <c r="I51" s="6"/>
      <c r="J51" s="6"/>
      <c r="K51" s="11"/>
    </row>
    <row r="52" spans="1:11">
      <c r="A52" s="10"/>
      <c r="B52" s="16"/>
      <c r="C52" s="6"/>
      <c r="D52" s="6" t="str">
        <f>IFERROR(VLOOKUP(C52,'Chemical Inventory'!$A$3:$T$202,2,FALSE),"")</f>
        <v/>
      </c>
      <c r="E52" s="6"/>
      <c r="F52" s="19"/>
      <c r="G52" s="6" t="str">
        <f>IFERROR(VLOOKUP(C52,'Chemical Inventory'!$A$3:$T$202,8,FALSE),"")</f>
        <v/>
      </c>
      <c r="H52" s="6"/>
      <c r="I52" s="6"/>
      <c r="J52" s="6"/>
      <c r="K52" s="11"/>
    </row>
    <row r="53" spans="1:11">
      <c r="A53" s="10"/>
      <c r="B53" s="16"/>
      <c r="C53" s="6"/>
      <c r="D53" s="6" t="str">
        <f>IFERROR(VLOOKUP(C53,'Chemical Inventory'!$A$3:$T$202,2,FALSE),"")</f>
        <v/>
      </c>
      <c r="E53" s="6"/>
      <c r="F53" s="19"/>
      <c r="G53" s="6" t="str">
        <f>IFERROR(VLOOKUP(C53,'Chemical Inventory'!$A$3:$T$202,8,FALSE),"")</f>
        <v/>
      </c>
      <c r="H53" s="6"/>
      <c r="I53" s="6"/>
      <c r="J53" s="6"/>
      <c r="K53" s="11"/>
    </row>
    <row r="54" spans="1:11">
      <c r="A54" s="10"/>
      <c r="B54" s="16"/>
      <c r="C54" s="6"/>
      <c r="D54" s="6" t="str">
        <f>IFERROR(VLOOKUP(C54,'Chemical Inventory'!$A$3:$T$202,2,FALSE),"")</f>
        <v/>
      </c>
      <c r="E54" s="6"/>
      <c r="F54" s="19"/>
      <c r="G54" s="6" t="str">
        <f>IFERROR(VLOOKUP(C54,'Chemical Inventory'!$A$3:$T$202,8,FALSE),"")</f>
        <v/>
      </c>
      <c r="H54" s="6"/>
      <c r="I54" s="6"/>
      <c r="J54" s="6"/>
      <c r="K54" s="11"/>
    </row>
    <row r="55" spans="1:11">
      <c r="A55" s="10"/>
      <c r="B55" s="16"/>
      <c r="C55" s="6"/>
      <c r="D55" s="6" t="str">
        <f>IFERROR(VLOOKUP(C55,'Chemical Inventory'!$A$3:$T$202,2,FALSE),"")</f>
        <v/>
      </c>
      <c r="E55" s="6"/>
      <c r="F55" s="19"/>
      <c r="G55" s="6" t="str">
        <f>IFERROR(VLOOKUP(C55,'Chemical Inventory'!$A$3:$T$202,8,FALSE),"")</f>
        <v/>
      </c>
      <c r="H55" s="6"/>
      <c r="I55" s="6"/>
      <c r="J55" s="6"/>
      <c r="K55" s="11"/>
    </row>
    <row r="56" spans="1:11">
      <c r="A56" s="10"/>
      <c r="B56" s="16"/>
      <c r="C56" s="6"/>
      <c r="D56" s="6" t="str">
        <f>IFERROR(VLOOKUP(C56,'Chemical Inventory'!$A$3:$T$202,2,FALSE),"")</f>
        <v/>
      </c>
      <c r="E56" s="6"/>
      <c r="F56" s="19"/>
      <c r="G56" s="6" t="str">
        <f>IFERROR(VLOOKUP(C56,'Chemical Inventory'!$A$3:$T$202,8,FALSE),"")</f>
        <v/>
      </c>
      <c r="H56" s="6"/>
      <c r="I56" s="6"/>
      <c r="J56" s="6"/>
      <c r="K56" s="11"/>
    </row>
    <row r="57" spans="1:11">
      <c r="A57" s="10"/>
      <c r="B57" s="16"/>
      <c r="C57" s="6"/>
      <c r="D57" s="6" t="str">
        <f>IFERROR(VLOOKUP(C57,'Chemical Inventory'!$A$3:$T$202,2,FALSE),"")</f>
        <v/>
      </c>
      <c r="E57" s="6"/>
      <c r="F57" s="19"/>
      <c r="G57" s="6" t="str">
        <f>IFERROR(VLOOKUP(C57,'Chemical Inventory'!$A$3:$T$202,8,FALSE),"")</f>
        <v/>
      </c>
      <c r="H57" s="6"/>
      <c r="I57" s="6"/>
      <c r="J57" s="6"/>
      <c r="K57" s="11"/>
    </row>
    <row r="58" spans="1:11">
      <c r="A58" s="10"/>
      <c r="B58" s="16"/>
      <c r="C58" s="6"/>
      <c r="D58" s="6" t="str">
        <f>IFERROR(VLOOKUP(C58,'Chemical Inventory'!$A$3:$T$202,2,FALSE),"")</f>
        <v/>
      </c>
      <c r="E58" s="6"/>
      <c r="F58" s="19"/>
      <c r="G58" s="6" t="str">
        <f>IFERROR(VLOOKUP(C58,'Chemical Inventory'!$A$3:$T$202,8,FALSE),"")</f>
        <v/>
      </c>
      <c r="H58" s="6"/>
      <c r="I58" s="6"/>
      <c r="J58" s="6"/>
      <c r="K58" s="11"/>
    </row>
    <row r="59" spans="1:11">
      <c r="A59" s="10"/>
      <c r="B59" s="16"/>
      <c r="C59" s="6"/>
      <c r="D59" s="6" t="str">
        <f>IFERROR(VLOOKUP(C59,'Chemical Inventory'!$A$3:$T$202,2,FALSE),"")</f>
        <v/>
      </c>
      <c r="E59" s="6"/>
      <c r="F59" s="19"/>
      <c r="G59" s="6" t="str">
        <f>IFERROR(VLOOKUP(C59,'Chemical Inventory'!$A$3:$T$202,8,FALSE),"")</f>
        <v/>
      </c>
      <c r="H59" s="6"/>
      <c r="I59" s="6"/>
      <c r="J59" s="6"/>
      <c r="K59" s="11"/>
    </row>
    <row r="60" spans="1:11">
      <c r="A60" s="10"/>
      <c r="B60" s="16"/>
      <c r="C60" s="6"/>
      <c r="D60" s="6" t="str">
        <f>IFERROR(VLOOKUP(C60,'Chemical Inventory'!$A$3:$T$202,2,FALSE),"")</f>
        <v/>
      </c>
      <c r="E60" s="6"/>
      <c r="F60" s="19"/>
      <c r="G60" s="6" t="str">
        <f>IFERROR(VLOOKUP(C60,'Chemical Inventory'!$A$3:$T$202,8,FALSE),"")</f>
        <v/>
      </c>
      <c r="H60" s="6"/>
      <c r="I60" s="6"/>
      <c r="J60" s="6"/>
      <c r="K60" s="11"/>
    </row>
    <row r="61" spans="1:11">
      <c r="A61" s="10"/>
      <c r="B61" s="16"/>
      <c r="C61" s="6"/>
      <c r="D61" s="6" t="str">
        <f>IFERROR(VLOOKUP(C61,'Chemical Inventory'!$A$3:$T$202,2,FALSE),"")</f>
        <v/>
      </c>
      <c r="E61" s="6"/>
      <c r="F61" s="19"/>
      <c r="G61" s="6" t="str">
        <f>IFERROR(VLOOKUP(C61,'Chemical Inventory'!$A$3:$T$202,8,FALSE),"")</f>
        <v/>
      </c>
      <c r="H61" s="6"/>
      <c r="I61" s="6"/>
      <c r="J61" s="6"/>
      <c r="K61" s="11"/>
    </row>
    <row r="62" spans="1:11">
      <c r="A62" s="10"/>
      <c r="B62" s="16"/>
      <c r="C62" s="6"/>
      <c r="D62" s="6" t="str">
        <f>IFERROR(VLOOKUP(C62,'Chemical Inventory'!$A$3:$T$202,2,FALSE),"")</f>
        <v/>
      </c>
      <c r="E62" s="6"/>
      <c r="F62" s="19"/>
      <c r="G62" s="6" t="str">
        <f>IFERROR(VLOOKUP(C62,'Chemical Inventory'!$A$3:$T$202,8,FALSE),"")</f>
        <v/>
      </c>
      <c r="H62" s="6"/>
      <c r="I62" s="6"/>
      <c r="J62" s="6"/>
      <c r="K62" s="11"/>
    </row>
    <row r="63" spans="1:11">
      <c r="A63" s="10"/>
      <c r="B63" s="16"/>
      <c r="C63" s="6"/>
      <c r="D63" s="6" t="str">
        <f>IFERROR(VLOOKUP(C63,'Chemical Inventory'!$A$3:$T$202,2,FALSE),"")</f>
        <v/>
      </c>
      <c r="E63" s="6"/>
      <c r="F63" s="19"/>
      <c r="G63" s="6" t="str">
        <f>IFERROR(VLOOKUP(C63,'Chemical Inventory'!$A$3:$T$202,8,FALSE),"")</f>
        <v/>
      </c>
      <c r="H63" s="6"/>
      <c r="I63" s="6"/>
      <c r="J63" s="6"/>
      <c r="K63" s="11"/>
    </row>
    <row r="64" spans="1:11">
      <c r="A64" s="10"/>
      <c r="B64" s="16"/>
      <c r="C64" s="6"/>
      <c r="D64" s="6" t="str">
        <f>IFERROR(VLOOKUP(C64,'Chemical Inventory'!$A$3:$T$202,2,FALSE),"")</f>
        <v/>
      </c>
      <c r="E64" s="6"/>
      <c r="F64" s="19"/>
      <c r="G64" s="6" t="str">
        <f>IFERROR(VLOOKUP(C64,'Chemical Inventory'!$A$3:$T$202,8,FALSE),"")</f>
        <v/>
      </c>
      <c r="H64" s="6"/>
      <c r="I64" s="6"/>
      <c r="J64" s="6"/>
      <c r="K64" s="11"/>
    </row>
    <row r="65" spans="1:11">
      <c r="A65" s="10"/>
      <c r="B65" s="16"/>
      <c r="C65" s="6"/>
      <c r="D65" s="6" t="str">
        <f>IFERROR(VLOOKUP(C65,'Chemical Inventory'!$A$3:$T$202,2,FALSE),"")</f>
        <v/>
      </c>
      <c r="E65" s="6"/>
      <c r="F65" s="19"/>
      <c r="G65" s="6" t="str">
        <f>IFERROR(VLOOKUP(C65,'Chemical Inventory'!$A$3:$T$202,8,FALSE),"")</f>
        <v/>
      </c>
      <c r="H65" s="6"/>
      <c r="I65" s="6"/>
      <c r="J65" s="6"/>
      <c r="K65" s="11"/>
    </row>
    <row r="66" spans="1:11">
      <c r="A66" s="10"/>
      <c r="B66" s="16"/>
      <c r="C66" s="6"/>
      <c r="D66" s="6" t="str">
        <f>IFERROR(VLOOKUP(C66,'Chemical Inventory'!$A$3:$T$202,2,FALSE),"")</f>
        <v/>
      </c>
      <c r="E66" s="6"/>
      <c r="F66" s="19"/>
      <c r="G66" s="6" t="str">
        <f>IFERROR(VLOOKUP(C66,'Chemical Inventory'!$A$3:$T$202,8,FALSE),"")</f>
        <v/>
      </c>
      <c r="H66" s="6"/>
      <c r="I66" s="6"/>
      <c r="J66" s="6"/>
      <c r="K66" s="11"/>
    </row>
    <row r="67" spans="1:11">
      <c r="A67" s="10"/>
      <c r="B67" s="16"/>
      <c r="C67" s="6"/>
      <c r="D67" s="6" t="str">
        <f>IFERROR(VLOOKUP(C67,'Chemical Inventory'!$A$3:$T$202,2,FALSE),"")</f>
        <v/>
      </c>
      <c r="E67" s="6"/>
      <c r="F67" s="19"/>
      <c r="G67" s="6" t="str">
        <f>IFERROR(VLOOKUP(C67,'Chemical Inventory'!$A$3:$T$202,8,FALSE),"")</f>
        <v/>
      </c>
      <c r="H67" s="6"/>
      <c r="I67" s="6"/>
      <c r="J67" s="6"/>
      <c r="K67" s="11"/>
    </row>
    <row r="68" spans="1:11">
      <c r="A68" s="10"/>
      <c r="B68" s="16"/>
      <c r="C68" s="6"/>
      <c r="D68" s="6" t="str">
        <f>IFERROR(VLOOKUP(C68,'Chemical Inventory'!$A$3:$T$202,2,FALSE),"")</f>
        <v/>
      </c>
      <c r="E68" s="6"/>
      <c r="F68" s="19"/>
      <c r="G68" s="6" t="str">
        <f>IFERROR(VLOOKUP(C68,'Chemical Inventory'!$A$3:$T$202,8,FALSE),"")</f>
        <v/>
      </c>
      <c r="H68" s="6"/>
      <c r="I68" s="6"/>
      <c r="J68" s="6"/>
      <c r="K68" s="11"/>
    </row>
    <row r="69" spans="1:11">
      <c r="A69" s="10"/>
      <c r="B69" s="16"/>
      <c r="C69" s="6"/>
      <c r="D69" s="6" t="str">
        <f>IFERROR(VLOOKUP(C69,'Chemical Inventory'!$A$3:$T$202,2,FALSE),"")</f>
        <v/>
      </c>
      <c r="E69" s="6"/>
      <c r="F69" s="19"/>
      <c r="G69" s="6" t="str">
        <f>IFERROR(VLOOKUP(C69,'Chemical Inventory'!$A$3:$T$202,8,FALSE),"")</f>
        <v/>
      </c>
      <c r="H69" s="6"/>
      <c r="I69" s="6"/>
      <c r="J69" s="6"/>
      <c r="K69" s="11"/>
    </row>
    <row r="70" spans="1:11">
      <c r="A70" s="10"/>
      <c r="B70" s="16"/>
      <c r="C70" s="6"/>
      <c r="D70" s="6" t="str">
        <f>IFERROR(VLOOKUP(C70,'Chemical Inventory'!$A$3:$T$202,2,FALSE),"")</f>
        <v/>
      </c>
      <c r="E70" s="6"/>
      <c r="F70" s="19"/>
      <c r="G70" s="6" t="str">
        <f>IFERROR(VLOOKUP(C70,'Chemical Inventory'!$A$3:$T$202,8,FALSE),"")</f>
        <v/>
      </c>
      <c r="H70" s="6"/>
      <c r="I70" s="6"/>
      <c r="J70" s="6"/>
      <c r="K70" s="11"/>
    </row>
    <row r="71" spans="1:11">
      <c r="A71" s="10"/>
      <c r="B71" s="16"/>
      <c r="C71" s="6"/>
      <c r="D71" s="6" t="str">
        <f>IFERROR(VLOOKUP(C71,'Chemical Inventory'!$A$3:$T$202,2,FALSE),"")</f>
        <v/>
      </c>
      <c r="E71" s="6"/>
      <c r="F71" s="19"/>
      <c r="G71" s="6" t="str">
        <f>IFERROR(VLOOKUP(C71,'Chemical Inventory'!$A$3:$T$202,8,FALSE),"")</f>
        <v/>
      </c>
      <c r="H71" s="6"/>
      <c r="I71" s="6"/>
      <c r="J71" s="6"/>
      <c r="K71" s="11"/>
    </row>
    <row r="72" spans="1:11">
      <c r="A72" s="10"/>
      <c r="B72" s="16"/>
      <c r="C72" s="6"/>
      <c r="D72" s="6" t="str">
        <f>IFERROR(VLOOKUP(C72,'Chemical Inventory'!$A$3:$T$202,2,FALSE),"")</f>
        <v/>
      </c>
      <c r="E72" s="6"/>
      <c r="F72" s="19"/>
      <c r="G72" s="6" t="str">
        <f>IFERROR(VLOOKUP(C72,'Chemical Inventory'!$A$3:$T$202,8,FALSE),"")</f>
        <v/>
      </c>
      <c r="H72" s="6"/>
      <c r="I72" s="6"/>
      <c r="J72" s="6"/>
      <c r="K72" s="11"/>
    </row>
    <row r="73" spans="1:11">
      <c r="A73" s="10"/>
      <c r="B73" s="16"/>
      <c r="C73" s="6"/>
      <c r="D73" s="6" t="str">
        <f>IFERROR(VLOOKUP(C73,'Chemical Inventory'!$A$3:$T$202,2,FALSE),"")</f>
        <v/>
      </c>
      <c r="E73" s="6"/>
      <c r="F73" s="19"/>
      <c r="G73" s="6" t="str">
        <f>IFERROR(VLOOKUP(C73,'Chemical Inventory'!$A$3:$T$202,8,FALSE),"")</f>
        <v/>
      </c>
      <c r="H73" s="6"/>
      <c r="I73" s="6"/>
      <c r="J73" s="6"/>
      <c r="K73" s="11"/>
    </row>
    <row r="74" spans="1:11">
      <c r="A74" s="10"/>
      <c r="B74" s="16"/>
      <c r="C74" s="6"/>
      <c r="D74" s="6" t="str">
        <f>IFERROR(VLOOKUP(C74,'Chemical Inventory'!$A$3:$T$202,2,FALSE),"")</f>
        <v/>
      </c>
      <c r="E74" s="6"/>
      <c r="F74" s="19"/>
      <c r="G74" s="6" t="str">
        <f>IFERROR(VLOOKUP(C74,'Chemical Inventory'!$A$3:$T$202,8,FALSE),"")</f>
        <v/>
      </c>
      <c r="H74" s="6"/>
      <c r="I74" s="6"/>
      <c r="J74" s="6"/>
      <c r="K74" s="11"/>
    </row>
    <row r="75" spans="1:11">
      <c r="A75" s="10"/>
      <c r="B75" s="16"/>
      <c r="C75" s="6"/>
      <c r="D75" s="6" t="str">
        <f>IFERROR(VLOOKUP(C75,'Chemical Inventory'!$A$3:$T$202,2,FALSE),"")</f>
        <v/>
      </c>
      <c r="E75" s="6"/>
      <c r="F75" s="19"/>
      <c r="G75" s="6" t="str">
        <f>IFERROR(VLOOKUP(C75,'Chemical Inventory'!$A$3:$T$202,8,FALSE),"")</f>
        <v/>
      </c>
      <c r="H75" s="6"/>
      <c r="I75" s="6"/>
      <c r="J75" s="6"/>
      <c r="K75" s="11"/>
    </row>
    <row r="76" spans="1:11">
      <c r="A76" s="10"/>
      <c r="B76" s="16"/>
      <c r="C76" s="6"/>
      <c r="D76" s="6" t="str">
        <f>IFERROR(VLOOKUP(C76,'Chemical Inventory'!$A$3:$T$202,2,FALSE),"")</f>
        <v/>
      </c>
      <c r="E76" s="6"/>
      <c r="F76" s="19"/>
      <c r="G76" s="6" t="str">
        <f>IFERROR(VLOOKUP(C76,'Chemical Inventory'!$A$3:$T$202,8,FALSE),"")</f>
        <v/>
      </c>
      <c r="H76" s="6"/>
      <c r="I76" s="6"/>
      <c r="J76" s="6"/>
      <c r="K76" s="11"/>
    </row>
    <row r="77" spans="1:11">
      <c r="A77" s="10"/>
      <c r="B77" s="16"/>
      <c r="C77" s="6"/>
      <c r="D77" s="6" t="str">
        <f>IFERROR(VLOOKUP(C77,'Chemical Inventory'!$A$3:$T$202,2,FALSE),"")</f>
        <v/>
      </c>
      <c r="E77" s="6"/>
      <c r="F77" s="19"/>
      <c r="G77" s="6" t="str">
        <f>IFERROR(VLOOKUP(C77,'Chemical Inventory'!$A$3:$T$202,8,FALSE),"")</f>
        <v/>
      </c>
      <c r="H77" s="6"/>
      <c r="I77" s="6"/>
      <c r="J77" s="6"/>
      <c r="K77" s="11"/>
    </row>
    <row r="78" spans="1:11">
      <c r="A78" s="10"/>
      <c r="B78" s="16"/>
      <c r="C78" s="6"/>
      <c r="D78" s="6" t="str">
        <f>IFERROR(VLOOKUP(C78,'Chemical Inventory'!$A$3:$T$202,2,FALSE),"")</f>
        <v/>
      </c>
      <c r="E78" s="6"/>
      <c r="F78" s="19"/>
      <c r="G78" s="6" t="str">
        <f>IFERROR(VLOOKUP(C78,'Chemical Inventory'!$A$3:$T$202,8,FALSE),"")</f>
        <v/>
      </c>
      <c r="H78" s="6"/>
      <c r="I78" s="6"/>
      <c r="J78" s="6"/>
      <c r="K78" s="11"/>
    </row>
    <row r="79" spans="1:11">
      <c r="A79" s="10"/>
      <c r="B79" s="16"/>
      <c r="C79" s="6"/>
      <c r="D79" s="6" t="str">
        <f>IFERROR(VLOOKUP(C79,'Chemical Inventory'!$A$3:$T$202,2,FALSE),"")</f>
        <v/>
      </c>
      <c r="E79" s="6"/>
      <c r="F79" s="19"/>
      <c r="G79" s="6" t="str">
        <f>IFERROR(VLOOKUP(C79,'Chemical Inventory'!$A$3:$T$202,8,FALSE),"")</f>
        <v/>
      </c>
      <c r="H79" s="6"/>
      <c r="I79" s="6"/>
      <c r="J79" s="6"/>
      <c r="K79" s="11"/>
    </row>
    <row r="80" spans="1:11">
      <c r="A80" s="10"/>
      <c r="B80" s="16"/>
      <c r="C80" s="6"/>
      <c r="D80" s="6" t="str">
        <f>IFERROR(VLOOKUP(C80,'Chemical Inventory'!$A$3:$T$202,2,FALSE),"")</f>
        <v/>
      </c>
      <c r="E80" s="6"/>
      <c r="F80" s="19"/>
      <c r="G80" s="6" t="str">
        <f>IFERROR(VLOOKUP(C80,'Chemical Inventory'!$A$3:$T$202,8,FALSE),"")</f>
        <v/>
      </c>
      <c r="H80" s="6"/>
      <c r="I80" s="6"/>
      <c r="J80" s="6"/>
      <c r="K80" s="11"/>
    </row>
    <row r="81" spans="1:11">
      <c r="A81" s="10"/>
      <c r="B81" s="16"/>
      <c r="C81" s="6"/>
      <c r="D81" s="6" t="str">
        <f>IFERROR(VLOOKUP(C81,'Chemical Inventory'!$A$3:$T$202,2,FALSE),"")</f>
        <v/>
      </c>
      <c r="E81" s="6"/>
      <c r="F81" s="19"/>
      <c r="G81" s="6" t="str">
        <f>IFERROR(VLOOKUP(C81,'Chemical Inventory'!$A$3:$T$202,8,FALSE),"")</f>
        <v/>
      </c>
      <c r="H81" s="6"/>
      <c r="I81" s="6"/>
      <c r="J81" s="6"/>
      <c r="K81" s="11"/>
    </row>
    <row r="82" spans="1:11">
      <c r="A82" s="10"/>
      <c r="B82" s="16"/>
      <c r="C82" s="6"/>
      <c r="D82" s="6" t="str">
        <f>IFERROR(VLOOKUP(C82,'Chemical Inventory'!$A$3:$T$202,2,FALSE),"")</f>
        <v/>
      </c>
      <c r="E82" s="6"/>
      <c r="F82" s="19"/>
      <c r="G82" s="6" t="str">
        <f>IFERROR(VLOOKUP(C82,'Chemical Inventory'!$A$3:$T$202,8,FALSE),"")</f>
        <v/>
      </c>
      <c r="H82" s="6"/>
      <c r="I82" s="6"/>
      <c r="J82" s="6"/>
      <c r="K82" s="11"/>
    </row>
    <row r="83" spans="1:11">
      <c r="A83" s="10"/>
      <c r="B83" s="16"/>
      <c r="C83" s="6"/>
      <c r="D83" s="6" t="str">
        <f>IFERROR(VLOOKUP(C83,'Chemical Inventory'!$A$3:$T$202,2,FALSE),"")</f>
        <v/>
      </c>
      <c r="E83" s="6"/>
      <c r="F83" s="19"/>
      <c r="G83" s="6" t="str">
        <f>IFERROR(VLOOKUP(C83,'Chemical Inventory'!$A$3:$T$202,8,FALSE),"")</f>
        <v/>
      </c>
      <c r="H83" s="6"/>
      <c r="I83" s="6"/>
      <c r="J83" s="6"/>
      <c r="K83" s="11"/>
    </row>
    <row r="84" spans="1:11">
      <c r="A84" s="10"/>
      <c r="B84" s="16"/>
      <c r="C84" s="6"/>
      <c r="D84" s="6" t="str">
        <f>IFERROR(VLOOKUP(C84,'Chemical Inventory'!$A$3:$T$202,2,FALSE),"")</f>
        <v/>
      </c>
      <c r="E84" s="6"/>
      <c r="F84" s="19"/>
      <c r="G84" s="6" t="str">
        <f>IFERROR(VLOOKUP(C84,'Chemical Inventory'!$A$3:$T$202,8,FALSE),"")</f>
        <v/>
      </c>
      <c r="H84" s="6"/>
      <c r="I84" s="6"/>
      <c r="J84" s="6"/>
      <c r="K84" s="11"/>
    </row>
    <row r="85" spans="1:11">
      <c r="A85" s="10"/>
      <c r="B85" s="16"/>
      <c r="C85" s="6"/>
      <c r="D85" s="6" t="str">
        <f>IFERROR(VLOOKUP(C85,'Chemical Inventory'!$A$3:$T$202,2,FALSE),"")</f>
        <v/>
      </c>
      <c r="E85" s="6"/>
      <c r="F85" s="19"/>
      <c r="G85" s="6" t="str">
        <f>IFERROR(VLOOKUP(C85,'Chemical Inventory'!$A$3:$T$202,8,FALSE),"")</f>
        <v/>
      </c>
      <c r="H85" s="6"/>
      <c r="I85" s="6"/>
      <c r="J85" s="6"/>
      <c r="K85" s="11"/>
    </row>
    <row r="86" spans="1:11">
      <c r="A86" s="10"/>
      <c r="B86" s="16"/>
      <c r="C86" s="6"/>
      <c r="D86" s="6" t="str">
        <f>IFERROR(VLOOKUP(C86,'Chemical Inventory'!$A$3:$T$202,2,FALSE),"")</f>
        <v/>
      </c>
      <c r="E86" s="6"/>
      <c r="F86" s="19"/>
      <c r="G86" s="6" t="str">
        <f>IFERROR(VLOOKUP(C86,'Chemical Inventory'!$A$3:$T$202,8,FALSE),"")</f>
        <v/>
      </c>
      <c r="H86" s="6"/>
      <c r="I86" s="6"/>
      <c r="J86" s="6"/>
      <c r="K86" s="11"/>
    </row>
    <row r="87" spans="1:11">
      <c r="A87" s="10"/>
      <c r="B87" s="16"/>
      <c r="C87" s="6"/>
      <c r="D87" s="6" t="str">
        <f>IFERROR(VLOOKUP(C87,'Chemical Inventory'!$A$3:$T$202,2,FALSE),"")</f>
        <v/>
      </c>
      <c r="E87" s="6"/>
      <c r="F87" s="19"/>
      <c r="G87" s="6" t="str">
        <f>IFERROR(VLOOKUP(C87,'Chemical Inventory'!$A$3:$T$202,8,FALSE),"")</f>
        <v/>
      </c>
      <c r="H87" s="6"/>
      <c r="I87" s="6"/>
      <c r="J87" s="6"/>
      <c r="K87" s="11"/>
    </row>
    <row r="88" spans="1:11">
      <c r="A88" s="10"/>
      <c r="B88" s="16"/>
      <c r="C88" s="6"/>
      <c r="D88" s="6" t="str">
        <f>IFERROR(VLOOKUP(C88,'Chemical Inventory'!$A$3:$T$202,2,FALSE),"")</f>
        <v/>
      </c>
      <c r="E88" s="6"/>
      <c r="F88" s="19"/>
      <c r="G88" s="6" t="str">
        <f>IFERROR(VLOOKUP(C88,'Chemical Inventory'!$A$3:$T$202,8,FALSE),"")</f>
        <v/>
      </c>
      <c r="H88" s="6"/>
      <c r="I88" s="6"/>
      <c r="J88" s="6"/>
      <c r="K88" s="11"/>
    </row>
    <row r="89" spans="1:11">
      <c r="A89" s="10"/>
      <c r="B89" s="16"/>
      <c r="C89" s="6"/>
      <c r="D89" s="6" t="str">
        <f>IFERROR(VLOOKUP(C89,'Chemical Inventory'!$A$3:$T$202,2,FALSE),"")</f>
        <v/>
      </c>
      <c r="E89" s="6"/>
      <c r="F89" s="19"/>
      <c r="G89" s="6" t="str">
        <f>IFERROR(VLOOKUP(C89,'Chemical Inventory'!$A$3:$T$202,8,FALSE),"")</f>
        <v/>
      </c>
      <c r="H89" s="6"/>
      <c r="I89" s="6"/>
      <c r="J89" s="6"/>
      <c r="K89" s="11"/>
    </row>
    <row r="90" spans="1:11">
      <c r="A90" s="10"/>
      <c r="B90" s="16"/>
      <c r="C90" s="6"/>
      <c r="D90" s="6" t="str">
        <f>IFERROR(VLOOKUP(C90,'Chemical Inventory'!$A$3:$T$202,2,FALSE),"")</f>
        <v/>
      </c>
      <c r="E90" s="6"/>
      <c r="F90" s="19"/>
      <c r="G90" s="6" t="str">
        <f>IFERROR(VLOOKUP(C90,'Chemical Inventory'!$A$3:$T$202,8,FALSE),"")</f>
        <v/>
      </c>
      <c r="H90" s="6"/>
      <c r="I90" s="6"/>
      <c r="J90" s="6"/>
      <c r="K90" s="11"/>
    </row>
    <row r="91" spans="1:11">
      <c r="A91" s="10"/>
      <c r="B91" s="16"/>
      <c r="C91" s="6"/>
      <c r="D91" s="6" t="str">
        <f>IFERROR(VLOOKUP(C91,'Chemical Inventory'!$A$3:$T$202,2,FALSE),"")</f>
        <v/>
      </c>
      <c r="E91" s="6"/>
      <c r="F91" s="19"/>
      <c r="G91" s="6" t="str">
        <f>IFERROR(VLOOKUP(C91,'Chemical Inventory'!$A$3:$T$202,8,FALSE),"")</f>
        <v/>
      </c>
      <c r="H91" s="6"/>
      <c r="I91" s="6"/>
      <c r="J91" s="6"/>
      <c r="K91" s="11"/>
    </row>
    <row r="92" spans="1:11">
      <c r="A92" s="10"/>
      <c r="B92" s="16"/>
      <c r="C92" s="6"/>
      <c r="D92" s="6" t="str">
        <f>IFERROR(VLOOKUP(C92,'Chemical Inventory'!$A$3:$T$202,2,FALSE),"")</f>
        <v/>
      </c>
      <c r="E92" s="6"/>
      <c r="F92" s="19"/>
      <c r="G92" s="6" t="str">
        <f>IFERROR(VLOOKUP(C92,'Chemical Inventory'!$A$3:$T$202,8,FALSE),"")</f>
        <v/>
      </c>
      <c r="H92" s="6"/>
      <c r="I92" s="6"/>
      <c r="J92" s="6"/>
      <c r="K92" s="11"/>
    </row>
    <row r="93" spans="1:11">
      <c r="A93" s="10"/>
      <c r="B93" s="16"/>
      <c r="C93" s="6"/>
      <c r="D93" s="6" t="str">
        <f>IFERROR(VLOOKUP(C93,'Chemical Inventory'!$A$3:$T$202,2,FALSE),"")</f>
        <v/>
      </c>
      <c r="E93" s="6"/>
      <c r="F93" s="19"/>
      <c r="G93" s="6" t="str">
        <f>IFERROR(VLOOKUP(C93,'Chemical Inventory'!$A$3:$T$202,8,FALSE),"")</f>
        <v/>
      </c>
      <c r="H93" s="6"/>
      <c r="I93" s="6"/>
      <c r="J93" s="6"/>
      <c r="K93" s="11"/>
    </row>
    <row r="94" spans="1:11">
      <c r="A94" s="10"/>
      <c r="B94" s="16"/>
      <c r="C94" s="6"/>
      <c r="D94" s="6" t="str">
        <f>IFERROR(VLOOKUP(C94,'Chemical Inventory'!$A$3:$T$202,2,FALSE),"")</f>
        <v/>
      </c>
      <c r="E94" s="6"/>
      <c r="F94" s="19"/>
      <c r="G94" s="6" t="str">
        <f>IFERROR(VLOOKUP(C94,'Chemical Inventory'!$A$3:$T$202,8,FALSE),"")</f>
        <v/>
      </c>
      <c r="H94" s="6"/>
      <c r="I94" s="6"/>
      <c r="J94" s="6"/>
      <c r="K94" s="11"/>
    </row>
    <row r="95" spans="1:11">
      <c r="A95" s="10"/>
      <c r="B95" s="16"/>
      <c r="C95" s="6"/>
      <c r="D95" s="6" t="str">
        <f>IFERROR(VLOOKUP(C95,'Chemical Inventory'!$A$3:$T$202,2,FALSE),"")</f>
        <v/>
      </c>
      <c r="E95" s="6"/>
      <c r="F95" s="19"/>
      <c r="G95" s="6" t="str">
        <f>IFERROR(VLOOKUP(C95,'Chemical Inventory'!$A$3:$T$202,8,FALSE),"")</f>
        <v/>
      </c>
      <c r="H95" s="6"/>
      <c r="I95" s="6"/>
      <c r="J95" s="6"/>
      <c r="K95" s="11"/>
    </row>
    <row r="96" spans="1:11">
      <c r="A96" s="10"/>
      <c r="B96" s="16"/>
      <c r="C96" s="6"/>
      <c r="D96" s="6" t="str">
        <f>IFERROR(VLOOKUP(C96,'Chemical Inventory'!$A$3:$T$202,2,FALSE),"")</f>
        <v/>
      </c>
      <c r="E96" s="6"/>
      <c r="F96" s="19"/>
      <c r="G96" s="6" t="str">
        <f>IFERROR(VLOOKUP(C96,'Chemical Inventory'!$A$3:$T$202,8,FALSE),"")</f>
        <v/>
      </c>
      <c r="H96" s="6"/>
      <c r="I96" s="6"/>
      <c r="J96" s="6"/>
      <c r="K96" s="11"/>
    </row>
    <row r="97" spans="1:11">
      <c r="A97" s="10"/>
      <c r="B97" s="16"/>
      <c r="C97" s="6"/>
      <c r="D97" s="6" t="str">
        <f>IFERROR(VLOOKUP(C97,'Chemical Inventory'!$A$3:$T$202,2,FALSE),"")</f>
        <v/>
      </c>
      <c r="E97" s="6"/>
      <c r="F97" s="19"/>
      <c r="G97" s="6" t="str">
        <f>IFERROR(VLOOKUP(C97,'Chemical Inventory'!$A$3:$T$202,8,FALSE),"")</f>
        <v/>
      </c>
      <c r="H97" s="6"/>
      <c r="I97" s="6"/>
      <c r="J97" s="6"/>
      <c r="K97" s="11"/>
    </row>
    <row r="98" spans="1:11">
      <c r="A98" s="10"/>
      <c r="B98" s="16"/>
      <c r="C98" s="6"/>
      <c r="D98" s="6" t="str">
        <f>IFERROR(VLOOKUP(C98,'Chemical Inventory'!$A$3:$T$202,2,FALSE),"")</f>
        <v/>
      </c>
      <c r="E98" s="6"/>
      <c r="F98" s="19"/>
      <c r="G98" s="6" t="str">
        <f>IFERROR(VLOOKUP(C98,'Chemical Inventory'!$A$3:$T$202,8,FALSE),"")</f>
        <v/>
      </c>
      <c r="H98" s="6"/>
      <c r="I98" s="6"/>
      <c r="J98" s="6"/>
      <c r="K98" s="11"/>
    </row>
    <row r="99" spans="1:11">
      <c r="A99" s="10"/>
      <c r="B99" s="16"/>
      <c r="C99" s="6"/>
      <c r="D99" s="6" t="str">
        <f>IFERROR(VLOOKUP(C99,'Chemical Inventory'!$A$3:$T$202,2,FALSE),"")</f>
        <v/>
      </c>
      <c r="E99" s="6"/>
      <c r="F99" s="19"/>
      <c r="G99" s="6" t="str">
        <f>IFERROR(VLOOKUP(C99,'Chemical Inventory'!$A$3:$T$202,8,FALSE),"")</f>
        <v/>
      </c>
      <c r="H99" s="6"/>
      <c r="I99" s="6"/>
      <c r="J99" s="6"/>
      <c r="K99" s="11"/>
    </row>
    <row r="100" spans="1:11">
      <c r="A100" s="10"/>
      <c r="B100" s="16"/>
      <c r="C100" s="6"/>
      <c r="D100" s="6" t="str">
        <f>IFERROR(VLOOKUP(C100,'Chemical Inventory'!$A$3:$T$202,2,FALSE),"")</f>
        <v/>
      </c>
      <c r="E100" s="6"/>
      <c r="F100" s="19"/>
      <c r="G100" s="6" t="str">
        <f>IFERROR(VLOOKUP(C100,'Chemical Inventory'!$A$3:$T$202,8,FALSE),"")</f>
        <v/>
      </c>
      <c r="H100" s="6"/>
      <c r="I100" s="6"/>
      <c r="J100" s="6"/>
      <c r="K100" s="11"/>
    </row>
    <row r="101" spans="1:11">
      <c r="A101" s="10"/>
      <c r="B101" s="16"/>
      <c r="C101" s="6"/>
      <c r="D101" s="6" t="str">
        <f>IFERROR(VLOOKUP(C101,'Chemical Inventory'!$A$3:$T$202,2,FALSE),"")</f>
        <v/>
      </c>
      <c r="E101" s="6"/>
      <c r="F101" s="19"/>
      <c r="G101" s="6" t="str">
        <f>IFERROR(VLOOKUP(C101,'Chemical Inventory'!$A$3:$T$202,8,FALSE),"")</f>
        <v/>
      </c>
      <c r="H101" s="6"/>
      <c r="I101" s="6"/>
      <c r="J101" s="6"/>
      <c r="K101" s="11"/>
    </row>
    <row r="102" spans="1:11">
      <c r="A102" s="10"/>
      <c r="B102" s="16"/>
      <c r="C102" s="6"/>
      <c r="D102" s="6" t="str">
        <f>IFERROR(VLOOKUP(C102,'Chemical Inventory'!$A$3:$T$202,2,FALSE),"")</f>
        <v/>
      </c>
      <c r="E102" s="6"/>
      <c r="F102" s="19"/>
      <c r="G102" s="6" t="str">
        <f>IFERROR(VLOOKUP(C102,'Chemical Inventory'!$A$3:$T$202,8,FALSE),"")</f>
        <v/>
      </c>
      <c r="H102" s="6"/>
      <c r="I102" s="6"/>
      <c r="J102" s="6"/>
      <c r="K102" s="11"/>
    </row>
    <row r="103" spans="1:11">
      <c r="A103" s="10"/>
      <c r="B103" s="16"/>
      <c r="C103" s="6"/>
      <c r="D103" s="6" t="str">
        <f>IFERROR(VLOOKUP(C103,'Chemical Inventory'!$A$3:$T$202,2,FALSE),"")</f>
        <v/>
      </c>
      <c r="E103" s="6"/>
      <c r="F103" s="19"/>
      <c r="G103" s="6" t="str">
        <f>IFERROR(VLOOKUP(C103,'Chemical Inventory'!$A$3:$T$202,8,FALSE),"")</f>
        <v/>
      </c>
      <c r="H103" s="6"/>
      <c r="I103" s="6"/>
      <c r="J103" s="6"/>
      <c r="K103" s="11"/>
    </row>
    <row r="104" spans="1:11">
      <c r="A104" s="10"/>
      <c r="B104" s="16"/>
      <c r="C104" s="6"/>
      <c r="D104" s="6" t="str">
        <f>IFERROR(VLOOKUP(C104,'Chemical Inventory'!$A$3:$T$202,2,FALSE),"")</f>
        <v/>
      </c>
      <c r="E104" s="6"/>
      <c r="F104" s="19"/>
      <c r="G104" s="6" t="str">
        <f>IFERROR(VLOOKUP(C104,'Chemical Inventory'!$A$3:$T$202,8,FALSE),"")</f>
        <v/>
      </c>
      <c r="H104" s="6"/>
      <c r="I104" s="6"/>
      <c r="J104" s="6"/>
      <c r="K104" s="11"/>
    </row>
    <row r="105" spans="1:11">
      <c r="A105" s="10"/>
      <c r="B105" s="16"/>
      <c r="C105" s="6"/>
      <c r="D105" s="6" t="str">
        <f>IFERROR(VLOOKUP(C105,'Chemical Inventory'!$A$3:$T$202,2,FALSE),"")</f>
        <v/>
      </c>
      <c r="E105" s="6"/>
      <c r="F105" s="19"/>
      <c r="G105" s="6" t="str">
        <f>IFERROR(VLOOKUP(C105,'Chemical Inventory'!$A$3:$T$202,8,FALSE),"")</f>
        <v/>
      </c>
      <c r="H105" s="6"/>
      <c r="I105" s="6"/>
      <c r="J105" s="6"/>
      <c r="K105" s="11"/>
    </row>
    <row r="106" spans="1:11">
      <c r="A106" s="10"/>
      <c r="B106" s="16"/>
      <c r="C106" s="6"/>
      <c r="D106" s="6" t="str">
        <f>IFERROR(VLOOKUP(C106,'Chemical Inventory'!$A$3:$T$202,2,FALSE),"")</f>
        <v/>
      </c>
      <c r="E106" s="6"/>
      <c r="F106" s="19"/>
      <c r="G106" s="6" t="str">
        <f>IFERROR(VLOOKUP(C106,'Chemical Inventory'!$A$3:$T$202,8,FALSE),"")</f>
        <v/>
      </c>
      <c r="H106" s="6"/>
      <c r="I106" s="6"/>
      <c r="J106" s="6"/>
      <c r="K106" s="11"/>
    </row>
    <row r="107" spans="1:11">
      <c r="A107" s="10"/>
      <c r="B107" s="16"/>
      <c r="C107" s="6"/>
      <c r="D107" s="6" t="str">
        <f>IFERROR(VLOOKUP(C107,'Chemical Inventory'!$A$3:$T$202,2,FALSE),"")</f>
        <v/>
      </c>
      <c r="E107" s="6"/>
      <c r="F107" s="19"/>
      <c r="G107" s="6" t="str">
        <f>IFERROR(VLOOKUP(C107,'Chemical Inventory'!$A$3:$T$202,8,FALSE),"")</f>
        <v/>
      </c>
      <c r="H107" s="6"/>
      <c r="I107" s="6"/>
      <c r="J107" s="6"/>
      <c r="K107" s="11"/>
    </row>
    <row r="108" spans="1:11">
      <c r="A108" s="10"/>
      <c r="B108" s="16"/>
      <c r="C108" s="6"/>
      <c r="D108" s="6" t="str">
        <f>IFERROR(VLOOKUP(C108,'Chemical Inventory'!$A$3:$T$202,2,FALSE),"")</f>
        <v/>
      </c>
      <c r="E108" s="6"/>
      <c r="F108" s="19"/>
      <c r="G108" s="6" t="str">
        <f>IFERROR(VLOOKUP(C108,'Chemical Inventory'!$A$3:$T$202,8,FALSE),"")</f>
        <v/>
      </c>
      <c r="H108" s="6"/>
      <c r="I108" s="6"/>
      <c r="J108" s="6"/>
      <c r="K108" s="11"/>
    </row>
    <row r="109" spans="1:11">
      <c r="A109" s="10"/>
      <c r="B109" s="16"/>
      <c r="C109" s="6"/>
      <c r="D109" s="6" t="str">
        <f>IFERROR(VLOOKUP(C109,'Chemical Inventory'!$A$3:$T$202,2,FALSE),"")</f>
        <v/>
      </c>
      <c r="E109" s="6"/>
      <c r="F109" s="19"/>
      <c r="G109" s="6" t="str">
        <f>IFERROR(VLOOKUP(C109,'Chemical Inventory'!$A$3:$T$202,8,FALSE),"")</f>
        <v/>
      </c>
      <c r="H109" s="6"/>
      <c r="I109" s="6"/>
      <c r="J109" s="6"/>
      <c r="K109" s="11"/>
    </row>
    <row r="110" spans="1:11">
      <c r="A110" s="10"/>
      <c r="B110" s="16"/>
      <c r="C110" s="6"/>
      <c r="D110" s="6" t="str">
        <f>IFERROR(VLOOKUP(C110,'Chemical Inventory'!$A$3:$T$202,2,FALSE),"")</f>
        <v/>
      </c>
      <c r="E110" s="6"/>
      <c r="F110" s="19"/>
      <c r="G110" s="6" t="str">
        <f>IFERROR(VLOOKUP(C110,'Chemical Inventory'!$A$3:$T$202,8,FALSE),"")</f>
        <v/>
      </c>
      <c r="H110" s="6"/>
      <c r="I110" s="6"/>
      <c r="J110" s="6"/>
      <c r="K110" s="11"/>
    </row>
    <row r="111" spans="1:11">
      <c r="A111" s="10"/>
      <c r="B111" s="16"/>
      <c r="C111" s="6"/>
      <c r="D111" s="6" t="str">
        <f>IFERROR(VLOOKUP(C111,'Chemical Inventory'!$A$3:$T$202,2,FALSE),"")</f>
        <v/>
      </c>
      <c r="E111" s="6"/>
      <c r="F111" s="19"/>
      <c r="G111" s="6" t="str">
        <f>IFERROR(VLOOKUP(C111,'Chemical Inventory'!$A$3:$T$202,8,FALSE),"")</f>
        <v/>
      </c>
      <c r="H111" s="6"/>
      <c r="I111" s="6"/>
      <c r="J111" s="6"/>
      <c r="K111" s="11"/>
    </row>
    <row r="112" spans="1:11">
      <c r="A112" s="10"/>
      <c r="B112" s="16"/>
      <c r="C112" s="6"/>
      <c r="D112" s="6" t="str">
        <f>IFERROR(VLOOKUP(C112,'Chemical Inventory'!$A$3:$T$202,2,FALSE),"")</f>
        <v/>
      </c>
      <c r="E112" s="6"/>
      <c r="F112" s="19"/>
      <c r="G112" s="6" t="str">
        <f>IFERROR(VLOOKUP(C112,'Chemical Inventory'!$A$3:$T$202,8,FALSE),"")</f>
        <v/>
      </c>
      <c r="H112" s="6"/>
      <c r="I112" s="6"/>
      <c r="J112" s="6"/>
      <c r="K112" s="11"/>
    </row>
    <row r="113" spans="1:11">
      <c r="A113" s="10"/>
      <c r="B113" s="16"/>
      <c r="C113" s="6"/>
      <c r="D113" s="6" t="str">
        <f>IFERROR(VLOOKUP(C113,'Chemical Inventory'!$A$3:$T$202,2,FALSE),"")</f>
        <v/>
      </c>
      <c r="E113" s="6"/>
      <c r="F113" s="19"/>
      <c r="G113" s="6" t="str">
        <f>IFERROR(VLOOKUP(C113,'Chemical Inventory'!$A$3:$T$202,8,FALSE),"")</f>
        <v/>
      </c>
      <c r="H113" s="6"/>
      <c r="I113" s="6"/>
      <c r="J113" s="6"/>
      <c r="K113" s="11"/>
    </row>
    <row r="114" spans="1:11">
      <c r="A114" s="10"/>
      <c r="B114" s="16"/>
      <c r="C114" s="6"/>
      <c r="D114" s="6" t="str">
        <f>IFERROR(VLOOKUP(C114,'Chemical Inventory'!$A$3:$T$202,2,FALSE),"")</f>
        <v/>
      </c>
      <c r="E114" s="6"/>
      <c r="F114" s="19"/>
      <c r="G114" s="6" t="str">
        <f>IFERROR(VLOOKUP(C114,'Chemical Inventory'!$A$3:$T$202,8,FALSE),"")</f>
        <v/>
      </c>
      <c r="H114" s="6"/>
      <c r="I114" s="6"/>
      <c r="J114" s="6"/>
      <c r="K114" s="11"/>
    </row>
    <row r="115" spans="1:11">
      <c r="A115" s="10"/>
      <c r="B115" s="16"/>
      <c r="C115" s="6"/>
      <c r="D115" s="6" t="str">
        <f>IFERROR(VLOOKUP(C115,'Chemical Inventory'!$A$3:$T$202,2,FALSE),"")</f>
        <v/>
      </c>
      <c r="E115" s="6"/>
      <c r="F115" s="19"/>
      <c r="G115" s="6" t="str">
        <f>IFERROR(VLOOKUP(C115,'Chemical Inventory'!$A$3:$T$202,8,FALSE),"")</f>
        <v/>
      </c>
      <c r="H115" s="6"/>
      <c r="I115" s="6"/>
      <c r="J115" s="6"/>
      <c r="K115" s="11"/>
    </row>
    <row r="116" spans="1:11">
      <c r="A116" s="10"/>
      <c r="B116" s="16"/>
      <c r="C116" s="6"/>
      <c r="D116" s="6" t="str">
        <f>IFERROR(VLOOKUP(C116,'Chemical Inventory'!$A$3:$T$202,2,FALSE),"")</f>
        <v/>
      </c>
      <c r="E116" s="6"/>
      <c r="F116" s="19"/>
      <c r="G116" s="6" t="str">
        <f>IFERROR(VLOOKUP(C116,'Chemical Inventory'!$A$3:$T$202,8,FALSE),"")</f>
        <v/>
      </c>
      <c r="H116" s="6"/>
      <c r="I116" s="6"/>
      <c r="J116" s="6"/>
      <c r="K116" s="11"/>
    </row>
    <row r="117" spans="1:11">
      <c r="A117" s="10"/>
      <c r="B117" s="16"/>
      <c r="C117" s="6"/>
      <c r="D117" s="6" t="str">
        <f>IFERROR(VLOOKUP(C117,'Chemical Inventory'!$A$3:$T$202,2,FALSE),"")</f>
        <v/>
      </c>
      <c r="E117" s="6"/>
      <c r="F117" s="19"/>
      <c r="G117" s="6" t="str">
        <f>IFERROR(VLOOKUP(C117,'Chemical Inventory'!$A$3:$T$202,8,FALSE),"")</f>
        <v/>
      </c>
      <c r="H117" s="6"/>
      <c r="I117" s="6"/>
      <c r="J117" s="6"/>
      <c r="K117" s="11"/>
    </row>
    <row r="118" spans="1:11">
      <c r="A118" s="10"/>
      <c r="B118" s="16"/>
      <c r="C118" s="6"/>
      <c r="D118" s="6" t="str">
        <f>IFERROR(VLOOKUP(C118,'Chemical Inventory'!$A$3:$T$202,2,FALSE),"")</f>
        <v/>
      </c>
      <c r="E118" s="6"/>
      <c r="F118" s="19"/>
      <c r="G118" s="6" t="str">
        <f>IFERROR(VLOOKUP(C118,'Chemical Inventory'!$A$3:$T$202,8,FALSE),"")</f>
        <v/>
      </c>
      <c r="H118" s="6"/>
      <c r="I118" s="6"/>
      <c r="J118" s="6"/>
      <c r="K118" s="11"/>
    </row>
    <row r="119" spans="1:11">
      <c r="A119" s="10"/>
      <c r="B119" s="16"/>
      <c r="C119" s="6"/>
      <c r="D119" s="6" t="str">
        <f>IFERROR(VLOOKUP(C119,'Chemical Inventory'!$A$3:$T$202,2,FALSE),"")</f>
        <v/>
      </c>
      <c r="E119" s="6"/>
      <c r="F119" s="19"/>
      <c r="G119" s="6" t="str">
        <f>IFERROR(VLOOKUP(C119,'Chemical Inventory'!$A$3:$T$202,8,FALSE),"")</f>
        <v/>
      </c>
      <c r="H119" s="6"/>
      <c r="I119" s="6"/>
      <c r="J119" s="6"/>
      <c r="K119" s="11"/>
    </row>
    <row r="120" spans="1:11">
      <c r="A120" s="10"/>
      <c r="B120" s="16"/>
      <c r="C120" s="6"/>
      <c r="D120" s="6" t="str">
        <f>IFERROR(VLOOKUP(C120,'Chemical Inventory'!$A$3:$T$202,2,FALSE),"")</f>
        <v/>
      </c>
      <c r="E120" s="6"/>
      <c r="F120" s="19"/>
      <c r="G120" s="6" t="str">
        <f>IFERROR(VLOOKUP(C120,'Chemical Inventory'!$A$3:$T$202,8,FALSE),"")</f>
        <v/>
      </c>
      <c r="H120" s="6"/>
      <c r="I120" s="6"/>
      <c r="J120" s="6"/>
      <c r="K120" s="11"/>
    </row>
    <row r="121" spans="1:11">
      <c r="A121" s="10"/>
      <c r="B121" s="16"/>
      <c r="C121" s="6"/>
      <c r="D121" s="6" t="str">
        <f>IFERROR(VLOOKUP(C121,'Chemical Inventory'!$A$3:$T$202,2,FALSE),"")</f>
        <v/>
      </c>
      <c r="E121" s="6"/>
      <c r="F121" s="19"/>
      <c r="G121" s="6" t="str">
        <f>IFERROR(VLOOKUP(C121,'Chemical Inventory'!$A$3:$T$202,8,FALSE),"")</f>
        <v/>
      </c>
      <c r="H121" s="6"/>
      <c r="I121" s="6"/>
      <c r="J121" s="6"/>
      <c r="K121" s="11"/>
    </row>
    <row r="122" spans="1:11">
      <c r="A122" s="10"/>
      <c r="B122" s="16"/>
      <c r="C122" s="6"/>
      <c r="D122" s="6" t="str">
        <f>IFERROR(VLOOKUP(C122,'Chemical Inventory'!$A$3:$T$202,2,FALSE),"")</f>
        <v/>
      </c>
      <c r="E122" s="6"/>
      <c r="F122" s="19"/>
      <c r="G122" s="6" t="str">
        <f>IFERROR(VLOOKUP(C122,'Chemical Inventory'!$A$3:$T$202,8,FALSE),"")</f>
        <v/>
      </c>
      <c r="H122" s="6"/>
      <c r="I122" s="6"/>
      <c r="J122" s="6"/>
      <c r="K122" s="11"/>
    </row>
    <row r="123" spans="1:11">
      <c r="A123" s="10"/>
      <c r="B123" s="16"/>
      <c r="C123" s="6"/>
      <c r="D123" s="6" t="str">
        <f>IFERROR(VLOOKUP(C123,'Chemical Inventory'!$A$3:$T$202,2,FALSE),"")</f>
        <v/>
      </c>
      <c r="E123" s="6"/>
      <c r="F123" s="19"/>
      <c r="G123" s="6" t="str">
        <f>IFERROR(VLOOKUP(C123,'Chemical Inventory'!$A$3:$T$202,8,FALSE),"")</f>
        <v/>
      </c>
      <c r="H123" s="6"/>
      <c r="I123" s="6"/>
      <c r="J123" s="6"/>
      <c r="K123" s="11"/>
    </row>
    <row r="124" spans="1:11">
      <c r="A124" s="10"/>
      <c r="B124" s="16"/>
      <c r="C124" s="6"/>
      <c r="D124" s="6" t="str">
        <f>IFERROR(VLOOKUP(C124,'Chemical Inventory'!$A$3:$T$202,2,FALSE),"")</f>
        <v/>
      </c>
      <c r="E124" s="6"/>
      <c r="F124" s="19"/>
      <c r="G124" s="6" t="str">
        <f>IFERROR(VLOOKUP(C124,'Chemical Inventory'!$A$3:$T$202,8,FALSE),"")</f>
        <v/>
      </c>
      <c r="H124" s="6"/>
      <c r="I124" s="6"/>
      <c r="J124" s="6"/>
      <c r="K124" s="11"/>
    </row>
    <row r="125" spans="1:11">
      <c r="A125" s="10"/>
      <c r="B125" s="16"/>
      <c r="C125" s="6"/>
      <c r="D125" s="6" t="str">
        <f>IFERROR(VLOOKUP(C125,'Chemical Inventory'!$A$3:$T$202,2,FALSE),"")</f>
        <v/>
      </c>
      <c r="E125" s="6"/>
      <c r="F125" s="19"/>
      <c r="G125" s="6" t="str">
        <f>IFERROR(VLOOKUP(C125,'Chemical Inventory'!$A$3:$T$202,8,FALSE),"")</f>
        <v/>
      </c>
      <c r="H125" s="6"/>
      <c r="I125" s="6"/>
      <c r="J125" s="6"/>
      <c r="K125" s="11"/>
    </row>
    <row r="126" spans="1:11">
      <c r="A126" s="10"/>
      <c r="B126" s="16"/>
      <c r="C126" s="6"/>
      <c r="D126" s="6" t="str">
        <f>IFERROR(VLOOKUP(C126,'Chemical Inventory'!$A$3:$T$202,2,FALSE),"")</f>
        <v/>
      </c>
      <c r="E126" s="6"/>
      <c r="F126" s="19"/>
      <c r="G126" s="6" t="str">
        <f>IFERROR(VLOOKUP(C126,'Chemical Inventory'!$A$3:$T$202,8,FALSE),"")</f>
        <v/>
      </c>
      <c r="H126" s="6"/>
      <c r="I126" s="6"/>
      <c r="J126" s="6"/>
      <c r="K126" s="11"/>
    </row>
    <row r="127" spans="1:11">
      <c r="A127" s="10"/>
      <c r="B127" s="16"/>
      <c r="C127" s="6"/>
      <c r="D127" s="6" t="str">
        <f>IFERROR(VLOOKUP(C127,'Chemical Inventory'!$A$3:$T$202,2,FALSE),"")</f>
        <v/>
      </c>
      <c r="E127" s="6"/>
      <c r="F127" s="19"/>
      <c r="G127" s="6" t="str">
        <f>IFERROR(VLOOKUP(C127,'Chemical Inventory'!$A$3:$T$202,8,FALSE),"")</f>
        <v/>
      </c>
      <c r="H127" s="6"/>
      <c r="I127" s="6"/>
      <c r="J127" s="6"/>
      <c r="K127" s="11"/>
    </row>
    <row r="128" spans="1:11">
      <c r="A128" s="10"/>
      <c r="B128" s="16"/>
      <c r="C128" s="6"/>
      <c r="D128" s="6" t="str">
        <f>IFERROR(VLOOKUP(C128,'Chemical Inventory'!$A$3:$T$202,2,FALSE),"")</f>
        <v/>
      </c>
      <c r="E128" s="6"/>
      <c r="F128" s="19"/>
      <c r="G128" s="6" t="str">
        <f>IFERROR(VLOOKUP(C128,'Chemical Inventory'!$A$3:$T$202,8,FALSE),"")</f>
        <v/>
      </c>
      <c r="H128" s="6"/>
      <c r="I128" s="6"/>
      <c r="J128" s="6"/>
      <c r="K128" s="11"/>
    </row>
    <row r="129" spans="1:11">
      <c r="A129" s="10"/>
      <c r="B129" s="16"/>
      <c r="C129" s="6"/>
      <c r="D129" s="6" t="str">
        <f>IFERROR(VLOOKUP(C129,'Chemical Inventory'!$A$3:$T$202,2,FALSE),"")</f>
        <v/>
      </c>
      <c r="E129" s="6"/>
      <c r="F129" s="19"/>
      <c r="G129" s="6" t="str">
        <f>IFERROR(VLOOKUP(C129,'Chemical Inventory'!$A$3:$T$202,8,FALSE),"")</f>
        <v/>
      </c>
      <c r="H129" s="6"/>
      <c r="I129" s="6"/>
      <c r="J129" s="6"/>
      <c r="K129" s="11"/>
    </row>
    <row r="130" spans="1:11">
      <c r="A130" s="10"/>
      <c r="B130" s="16"/>
      <c r="C130" s="6"/>
      <c r="D130" s="6" t="str">
        <f>IFERROR(VLOOKUP(C130,'Chemical Inventory'!$A$3:$T$202,2,FALSE),"")</f>
        <v/>
      </c>
      <c r="E130" s="6"/>
      <c r="F130" s="19"/>
      <c r="G130" s="6" t="str">
        <f>IFERROR(VLOOKUP(C130,'Chemical Inventory'!$A$3:$T$202,8,FALSE),"")</f>
        <v/>
      </c>
      <c r="H130" s="6"/>
      <c r="I130" s="6"/>
      <c r="J130" s="6"/>
      <c r="K130" s="11"/>
    </row>
    <row r="131" spans="1:11">
      <c r="A131" s="10"/>
      <c r="B131" s="16"/>
      <c r="C131" s="6"/>
      <c r="D131" s="6" t="str">
        <f>IFERROR(VLOOKUP(C131,'Chemical Inventory'!$A$3:$T$202,2,FALSE),"")</f>
        <v/>
      </c>
      <c r="E131" s="6"/>
      <c r="F131" s="19"/>
      <c r="G131" s="6" t="str">
        <f>IFERROR(VLOOKUP(C131,'Chemical Inventory'!$A$3:$T$202,8,FALSE),"")</f>
        <v/>
      </c>
      <c r="H131" s="6"/>
      <c r="I131" s="6"/>
      <c r="J131" s="6"/>
      <c r="K131" s="11"/>
    </row>
    <row r="132" spans="1:11">
      <c r="A132" s="10"/>
      <c r="B132" s="16"/>
      <c r="C132" s="6"/>
      <c r="D132" s="6" t="str">
        <f>IFERROR(VLOOKUP(C132,'Chemical Inventory'!$A$3:$T$202,2,FALSE),"")</f>
        <v/>
      </c>
      <c r="E132" s="6"/>
      <c r="F132" s="19"/>
      <c r="G132" s="6" t="str">
        <f>IFERROR(VLOOKUP(C132,'Chemical Inventory'!$A$3:$T$202,8,FALSE),"")</f>
        <v/>
      </c>
      <c r="H132" s="6"/>
      <c r="I132" s="6"/>
      <c r="J132" s="6"/>
      <c r="K132" s="11"/>
    </row>
    <row r="133" spans="1:11">
      <c r="A133" s="10"/>
      <c r="B133" s="16"/>
      <c r="C133" s="6"/>
      <c r="D133" s="6" t="str">
        <f>IFERROR(VLOOKUP(C133,'Chemical Inventory'!$A$3:$T$202,2,FALSE),"")</f>
        <v/>
      </c>
      <c r="E133" s="6"/>
      <c r="F133" s="19"/>
      <c r="G133" s="6" t="str">
        <f>IFERROR(VLOOKUP(C133,'Chemical Inventory'!$A$3:$T$202,8,FALSE),"")</f>
        <v/>
      </c>
      <c r="H133" s="6"/>
      <c r="I133" s="6"/>
      <c r="J133" s="6"/>
      <c r="K133" s="11"/>
    </row>
    <row r="134" spans="1:11">
      <c r="A134" s="10"/>
      <c r="B134" s="16"/>
      <c r="C134" s="6"/>
      <c r="D134" s="6" t="str">
        <f>IFERROR(VLOOKUP(C134,'Chemical Inventory'!$A$3:$T$202,2,FALSE),"")</f>
        <v/>
      </c>
      <c r="E134" s="6"/>
      <c r="F134" s="19"/>
      <c r="G134" s="6" t="str">
        <f>IFERROR(VLOOKUP(C134,'Chemical Inventory'!$A$3:$T$202,8,FALSE),"")</f>
        <v/>
      </c>
      <c r="H134" s="6"/>
      <c r="I134" s="6"/>
      <c r="J134" s="6"/>
      <c r="K134" s="11"/>
    </row>
    <row r="135" spans="1:11">
      <c r="A135" s="10"/>
      <c r="B135" s="16"/>
      <c r="C135" s="6"/>
      <c r="D135" s="6" t="str">
        <f>IFERROR(VLOOKUP(C135,'Chemical Inventory'!$A$3:$T$202,2,FALSE),"")</f>
        <v/>
      </c>
      <c r="E135" s="6"/>
      <c r="F135" s="19"/>
      <c r="G135" s="6" t="str">
        <f>IFERROR(VLOOKUP(C135,'Chemical Inventory'!$A$3:$T$202,8,FALSE),"")</f>
        <v/>
      </c>
      <c r="H135" s="6"/>
      <c r="I135" s="6"/>
      <c r="J135" s="6"/>
      <c r="K135" s="11"/>
    </row>
    <row r="136" spans="1:11">
      <c r="A136" s="10"/>
      <c r="B136" s="16"/>
      <c r="C136" s="6"/>
      <c r="D136" s="6" t="str">
        <f>IFERROR(VLOOKUP(C136,'Chemical Inventory'!$A$3:$T$202,2,FALSE),"")</f>
        <v/>
      </c>
      <c r="E136" s="6"/>
      <c r="F136" s="19"/>
      <c r="G136" s="6" t="str">
        <f>IFERROR(VLOOKUP(C136,'Chemical Inventory'!$A$3:$T$202,8,FALSE),"")</f>
        <v/>
      </c>
      <c r="H136" s="6"/>
      <c r="I136" s="6"/>
      <c r="J136" s="6"/>
      <c r="K136" s="11"/>
    </row>
    <row r="137" spans="1:11">
      <c r="A137" s="10"/>
      <c r="B137" s="16"/>
      <c r="C137" s="6"/>
      <c r="D137" s="6" t="str">
        <f>IFERROR(VLOOKUP(C137,'Chemical Inventory'!$A$3:$T$202,2,FALSE),"")</f>
        <v/>
      </c>
      <c r="E137" s="6"/>
      <c r="F137" s="19"/>
      <c r="G137" s="6" t="str">
        <f>IFERROR(VLOOKUP(C137,'Chemical Inventory'!$A$3:$T$202,8,FALSE),"")</f>
        <v/>
      </c>
      <c r="H137" s="6"/>
      <c r="I137" s="6"/>
      <c r="J137" s="6"/>
      <c r="K137" s="11"/>
    </row>
    <row r="138" spans="1:11">
      <c r="A138" s="10"/>
      <c r="B138" s="16"/>
      <c r="C138" s="6"/>
      <c r="D138" s="6" t="str">
        <f>IFERROR(VLOOKUP(C138,'Chemical Inventory'!$A$3:$T$202,2,FALSE),"")</f>
        <v/>
      </c>
      <c r="E138" s="6"/>
      <c r="F138" s="19"/>
      <c r="G138" s="6" t="str">
        <f>IFERROR(VLOOKUP(C138,'Chemical Inventory'!$A$3:$T$202,8,FALSE),"")</f>
        <v/>
      </c>
      <c r="H138" s="6"/>
      <c r="I138" s="6"/>
      <c r="J138" s="6"/>
      <c r="K138" s="11"/>
    </row>
    <row r="139" spans="1:11">
      <c r="A139" s="10"/>
      <c r="B139" s="16"/>
      <c r="C139" s="6"/>
      <c r="D139" s="6" t="str">
        <f>IFERROR(VLOOKUP(C139,'Chemical Inventory'!$A$3:$T$202,2,FALSE),"")</f>
        <v/>
      </c>
      <c r="E139" s="6"/>
      <c r="F139" s="19"/>
      <c r="G139" s="6" t="str">
        <f>IFERROR(VLOOKUP(C139,'Chemical Inventory'!$A$3:$T$202,8,FALSE),"")</f>
        <v/>
      </c>
      <c r="H139" s="6"/>
      <c r="I139" s="6"/>
      <c r="J139" s="6"/>
      <c r="K139" s="11"/>
    </row>
    <row r="140" spans="1:11">
      <c r="A140" s="10"/>
      <c r="B140" s="16"/>
      <c r="C140" s="6"/>
      <c r="D140" s="6" t="str">
        <f>IFERROR(VLOOKUP(C140,'Chemical Inventory'!$A$3:$T$202,2,FALSE),"")</f>
        <v/>
      </c>
      <c r="E140" s="6"/>
      <c r="F140" s="19"/>
      <c r="G140" s="6" t="str">
        <f>IFERROR(VLOOKUP(C140,'Chemical Inventory'!$A$3:$T$202,8,FALSE),"")</f>
        <v/>
      </c>
      <c r="H140" s="6"/>
      <c r="I140" s="6"/>
      <c r="J140" s="6"/>
      <c r="K140" s="11"/>
    </row>
    <row r="141" spans="1:11">
      <c r="A141" s="10"/>
      <c r="B141" s="16"/>
      <c r="C141" s="6"/>
      <c r="D141" s="6" t="str">
        <f>IFERROR(VLOOKUP(C141,'Chemical Inventory'!$A$3:$T$202,2,FALSE),"")</f>
        <v/>
      </c>
      <c r="E141" s="6"/>
      <c r="F141" s="19"/>
      <c r="G141" s="6" t="str">
        <f>IFERROR(VLOOKUP(C141,'Chemical Inventory'!$A$3:$T$202,8,FALSE),"")</f>
        <v/>
      </c>
      <c r="H141" s="6"/>
      <c r="I141" s="6"/>
      <c r="J141" s="6"/>
      <c r="K141" s="11"/>
    </row>
    <row r="142" spans="1:11">
      <c r="A142" s="10"/>
      <c r="B142" s="16"/>
      <c r="C142" s="6"/>
      <c r="D142" s="6" t="str">
        <f>IFERROR(VLOOKUP(C142,'Chemical Inventory'!$A$3:$T$202,2,FALSE),"")</f>
        <v/>
      </c>
      <c r="E142" s="6"/>
      <c r="F142" s="19"/>
      <c r="G142" s="6" t="str">
        <f>IFERROR(VLOOKUP(C142,'Chemical Inventory'!$A$3:$T$202,8,FALSE),"")</f>
        <v/>
      </c>
      <c r="H142" s="6"/>
      <c r="I142" s="6"/>
      <c r="J142" s="6"/>
      <c r="K142" s="11"/>
    </row>
    <row r="143" spans="1:11">
      <c r="A143" s="10"/>
      <c r="B143" s="16"/>
      <c r="C143" s="6"/>
      <c r="D143" s="6" t="str">
        <f>IFERROR(VLOOKUP(C143,'Chemical Inventory'!$A$3:$T$202,2,FALSE),"")</f>
        <v/>
      </c>
      <c r="E143" s="6"/>
      <c r="F143" s="19"/>
      <c r="G143" s="6" t="str">
        <f>IFERROR(VLOOKUP(C143,'Chemical Inventory'!$A$3:$T$202,8,FALSE),"")</f>
        <v/>
      </c>
      <c r="H143" s="6"/>
      <c r="I143" s="6"/>
      <c r="J143" s="6"/>
      <c r="K143" s="11"/>
    </row>
    <row r="144" spans="1:11">
      <c r="A144" s="10"/>
      <c r="B144" s="16"/>
      <c r="C144" s="6"/>
      <c r="D144" s="6" t="str">
        <f>IFERROR(VLOOKUP(C144,'Chemical Inventory'!$A$3:$T$202,2,FALSE),"")</f>
        <v/>
      </c>
      <c r="E144" s="6"/>
      <c r="F144" s="19"/>
      <c r="G144" s="6" t="str">
        <f>IFERROR(VLOOKUP(C144,'Chemical Inventory'!$A$3:$T$202,8,FALSE),"")</f>
        <v/>
      </c>
      <c r="H144" s="6"/>
      <c r="I144" s="6"/>
      <c r="J144" s="6"/>
      <c r="K144" s="11"/>
    </row>
    <row r="145" spans="1:11">
      <c r="A145" s="10"/>
      <c r="B145" s="16"/>
      <c r="C145" s="6"/>
      <c r="D145" s="6" t="str">
        <f>IFERROR(VLOOKUP(C145,'Chemical Inventory'!$A$3:$T$202,2,FALSE),"")</f>
        <v/>
      </c>
      <c r="E145" s="6"/>
      <c r="F145" s="19"/>
      <c r="G145" s="6" t="str">
        <f>IFERROR(VLOOKUP(C145,'Chemical Inventory'!$A$3:$T$202,8,FALSE),"")</f>
        <v/>
      </c>
      <c r="H145" s="6"/>
      <c r="I145" s="6"/>
      <c r="J145" s="6"/>
      <c r="K145" s="11"/>
    </row>
    <row r="146" spans="1:11">
      <c r="A146" s="10"/>
      <c r="B146" s="16"/>
      <c r="C146" s="6"/>
      <c r="D146" s="6" t="str">
        <f>IFERROR(VLOOKUP(C146,'Chemical Inventory'!$A$3:$T$202,2,FALSE),"")</f>
        <v/>
      </c>
      <c r="E146" s="6"/>
      <c r="F146" s="19"/>
      <c r="G146" s="6" t="str">
        <f>IFERROR(VLOOKUP(C146,'Chemical Inventory'!$A$3:$T$202,8,FALSE),"")</f>
        <v/>
      </c>
      <c r="H146" s="6"/>
      <c r="I146" s="6"/>
      <c r="J146" s="6"/>
      <c r="K146" s="11"/>
    </row>
    <row r="147" spans="1:11">
      <c r="A147" s="10"/>
      <c r="B147" s="16"/>
      <c r="C147" s="6"/>
      <c r="D147" s="6" t="str">
        <f>IFERROR(VLOOKUP(C147,'Chemical Inventory'!$A$3:$T$202,2,FALSE),"")</f>
        <v/>
      </c>
      <c r="E147" s="6"/>
      <c r="F147" s="19"/>
      <c r="G147" s="6" t="str">
        <f>IFERROR(VLOOKUP(C147,'Chemical Inventory'!$A$3:$T$202,8,FALSE),"")</f>
        <v/>
      </c>
      <c r="H147" s="6"/>
      <c r="I147" s="6"/>
      <c r="J147" s="6"/>
      <c r="K147" s="11"/>
    </row>
    <row r="148" spans="1:11">
      <c r="A148" s="10"/>
      <c r="B148" s="16"/>
      <c r="C148" s="6"/>
      <c r="D148" s="6" t="str">
        <f>IFERROR(VLOOKUP(C148,'Chemical Inventory'!$A$3:$T$202,2,FALSE),"")</f>
        <v/>
      </c>
      <c r="E148" s="6"/>
      <c r="F148" s="19"/>
      <c r="G148" s="6" t="str">
        <f>IFERROR(VLOOKUP(C148,'Chemical Inventory'!$A$3:$T$202,8,FALSE),"")</f>
        <v/>
      </c>
      <c r="H148" s="6"/>
      <c r="I148" s="6"/>
      <c r="J148" s="6"/>
      <c r="K148" s="11"/>
    </row>
    <row r="149" spans="1:11">
      <c r="A149" s="10"/>
      <c r="B149" s="16"/>
      <c r="C149" s="6"/>
      <c r="D149" s="6" t="str">
        <f>IFERROR(VLOOKUP(C149,'Chemical Inventory'!$A$3:$T$202,2,FALSE),"")</f>
        <v/>
      </c>
      <c r="E149" s="6"/>
      <c r="F149" s="19"/>
      <c r="G149" s="6" t="str">
        <f>IFERROR(VLOOKUP(C149,'Chemical Inventory'!$A$3:$T$202,8,FALSE),"")</f>
        <v/>
      </c>
      <c r="H149" s="6"/>
      <c r="I149" s="6"/>
      <c r="J149" s="6"/>
      <c r="K149" s="11"/>
    </row>
    <row r="150" spans="1:11">
      <c r="A150" s="10"/>
      <c r="B150" s="16"/>
      <c r="C150" s="6"/>
      <c r="D150" s="6" t="str">
        <f>IFERROR(VLOOKUP(C150,'Chemical Inventory'!$A$3:$T$202,2,FALSE),"")</f>
        <v/>
      </c>
      <c r="E150" s="6"/>
      <c r="F150" s="19"/>
      <c r="G150" s="6" t="str">
        <f>IFERROR(VLOOKUP(C150,'Chemical Inventory'!$A$3:$T$202,8,FALSE),"")</f>
        <v/>
      </c>
      <c r="H150" s="6"/>
      <c r="I150" s="6"/>
      <c r="J150" s="6"/>
      <c r="K150" s="11"/>
    </row>
    <row r="151" spans="1:11">
      <c r="A151" s="10"/>
      <c r="B151" s="16"/>
      <c r="C151" s="6"/>
      <c r="D151" s="6" t="str">
        <f>IFERROR(VLOOKUP(C151,'Chemical Inventory'!$A$3:$T$202,2,FALSE),"")</f>
        <v/>
      </c>
      <c r="E151" s="6"/>
      <c r="F151" s="19"/>
      <c r="G151" s="6" t="str">
        <f>IFERROR(VLOOKUP(C151,'Chemical Inventory'!$A$3:$T$202,8,FALSE),"")</f>
        <v/>
      </c>
      <c r="H151" s="6"/>
      <c r="I151" s="6"/>
      <c r="J151" s="6"/>
      <c r="K151" s="11"/>
    </row>
    <row r="152" spans="1:11">
      <c r="A152" s="10"/>
      <c r="B152" s="16"/>
      <c r="C152" s="6"/>
      <c r="D152" s="6" t="str">
        <f>IFERROR(VLOOKUP(C152,'Chemical Inventory'!$A$3:$T$202,2,FALSE),"")</f>
        <v/>
      </c>
      <c r="E152" s="6"/>
      <c r="F152" s="19"/>
      <c r="G152" s="6" t="str">
        <f>IFERROR(VLOOKUP(C152,'Chemical Inventory'!$A$3:$T$202,8,FALSE),"")</f>
        <v/>
      </c>
      <c r="H152" s="6"/>
      <c r="I152" s="6"/>
      <c r="J152" s="6"/>
      <c r="K152" s="11"/>
    </row>
    <row r="153" spans="1:11">
      <c r="A153" s="10"/>
      <c r="B153" s="16"/>
      <c r="C153" s="6"/>
      <c r="D153" s="6" t="str">
        <f>IFERROR(VLOOKUP(C153,'Chemical Inventory'!$A$3:$T$202,2,FALSE),"")</f>
        <v/>
      </c>
      <c r="E153" s="6"/>
      <c r="F153" s="19"/>
      <c r="G153" s="6" t="str">
        <f>IFERROR(VLOOKUP(C153,'Chemical Inventory'!$A$3:$T$202,8,FALSE),"")</f>
        <v/>
      </c>
      <c r="H153" s="6"/>
      <c r="I153" s="6"/>
      <c r="J153" s="6"/>
      <c r="K153" s="11"/>
    </row>
    <row r="154" spans="1:11">
      <c r="A154" s="10"/>
      <c r="B154" s="16"/>
      <c r="C154" s="6"/>
      <c r="D154" s="6" t="str">
        <f>IFERROR(VLOOKUP(C154,'Chemical Inventory'!$A$3:$T$202,2,FALSE),"")</f>
        <v/>
      </c>
      <c r="E154" s="6"/>
      <c r="F154" s="19"/>
      <c r="G154" s="6" t="str">
        <f>IFERROR(VLOOKUP(C154,'Chemical Inventory'!$A$3:$T$202,8,FALSE),"")</f>
        <v/>
      </c>
      <c r="H154" s="6"/>
      <c r="I154" s="6"/>
      <c r="J154" s="6"/>
      <c r="K154" s="11"/>
    </row>
    <row r="155" spans="1:11">
      <c r="A155" s="10"/>
      <c r="B155" s="16"/>
      <c r="C155" s="6"/>
      <c r="D155" s="6" t="str">
        <f>IFERROR(VLOOKUP(C155,'Chemical Inventory'!$A$3:$T$202,2,FALSE),"")</f>
        <v/>
      </c>
      <c r="E155" s="6"/>
      <c r="F155" s="19"/>
      <c r="G155" s="6" t="str">
        <f>IFERROR(VLOOKUP(C155,'Chemical Inventory'!$A$3:$T$202,8,FALSE),"")</f>
        <v/>
      </c>
      <c r="H155" s="6"/>
      <c r="I155" s="6"/>
      <c r="J155" s="6"/>
      <c r="K155" s="11"/>
    </row>
    <row r="156" spans="1:11">
      <c r="A156" s="10"/>
      <c r="B156" s="16"/>
      <c r="C156" s="6"/>
      <c r="D156" s="6" t="str">
        <f>IFERROR(VLOOKUP(C156,'Chemical Inventory'!$A$3:$T$202,2,FALSE),"")</f>
        <v/>
      </c>
      <c r="E156" s="6"/>
      <c r="F156" s="19"/>
      <c r="G156" s="6" t="str">
        <f>IFERROR(VLOOKUP(C156,'Chemical Inventory'!$A$3:$T$202,8,FALSE),"")</f>
        <v/>
      </c>
      <c r="H156" s="6"/>
      <c r="I156" s="6"/>
      <c r="J156" s="6"/>
      <c r="K156" s="11"/>
    </row>
    <row r="157" spans="1:11">
      <c r="A157" s="10"/>
      <c r="B157" s="16"/>
      <c r="C157" s="6"/>
      <c r="D157" s="6" t="str">
        <f>IFERROR(VLOOKUP(C157,'Chemical Inventory'!$A$3:$T$202,2,FALSE),"")</f>
        <v/>
      </c>
      <c r="E157" s="6"/>
      <c r="F157" s="19"/>
      <c r="G157" s="6" t="str">
        <f>IFERROR(VLOOKUP(C157,'Chemical Inventory'!$A$3:$T$202,8,FALSE),"")</f>
        <v/>
      </c>
      <c r="H157" s="6"/>
      <c r="I157" s="6"/>
      <c r="J157" s="6"/>
      <c r="K157" s="11"/>
    </row>
    <row r="158" spans="1:11">
      <c r="A158" s="10"/>
      <c r="B158" s="16"/>
      <c r="C158" s="6"/>
      <c r="D158" s="6" t="str">
        <f>IFERROR(VLOOKUP(C158,'Chemical Inventory'!$A$3:$T$202,2,FALSE),"")</f>
        <v/>
      </c>
      <c r="E158" s="6"/>
      <c r="F158" s="19"/>
      <c r="G158" s="6" t="str">
        <f>IFERROR(VLOOKUP(C158,'Chemical Inventory'!$A$3:$T$202,8,FALSE),"")</f>
        <v/>
      </c>
      <c r="H158" s="6"/>
      <c r="I158" s="6"/>
      <c r="J158" s="6"/>
      <c r="K158" s="11"/>
    </row>
    <row r="159" spans="1:11">
      <c r="A159" s="10"/>
      <c r="B159" s="16"/>
      <c r="C159" s="6"/>
      <c r="D159" s="6" t="str">
        <f>IFERROR(VLOOKUP(C159,'Chemical Inventory'!$A$3:$T$202,2,FALSE),"")</f>
        <v/>
      </c>
      <c r="E159" s="6"/>
      <c r="F159" s="19"/>
      <c r="G159" s="6" t="str">
        <f>IFERROR(VLOOKUP(C159,'Chemical Inventory'!$A$3:$T$202,8,FALSE),"")</f>
        <v/>
      </c>
      <c r="H159" s="6"/>
      <c r="I159" s="6"/>
      <c r="J159" s="6"/>
      <c r="K159" s="11"/>
    </row>
    <row r="160" spans="1:11">
      <c r="A160" s="10"/>
      <c r="B160" s="16"/>
      <c r="C160" s="6"/>
      <c r="D160" s="6" t="str">
        <f>IFERROR(VLOOKUP(C160,'Chemical Inventory'!$A$3:$T$202,2,FALSE),"")</f>
        <v/>
      </c>
      <c r="E160" s="6"/>
      <c r="F160" s="19"/>
      <c r="G160" s="6" t="str">
        <f>IFERROR(VLOOKUP(C160,'Chemical Inventory'!$A$3:$T$202,8,FALSE),"")</f>
        <v/>
      </c>
      <c r="H160" s="6"/>
      <c r="I160" s="6"/>
      <c r="J160" s="6"/>
      <c r="K160" s="11"/>
    </row>
    <row r="161" spans="1:11">
      <c r="A161" s="10"/>
      <c r="B161" s="16"/>
      <c r="C161" s="6"/>
      <c r="D161" s="6" t="str">
        <f>IFERROR(VLOOKUP(C161,'Chemical Inventory'!$A$3:$T$202,2,FALSE),"")</f>
        <v/>
      </c>
      <c r="E161" s="6"/>
      <c r="F161" s="19"/>
      <c r="G161" s="6" t="str">
        <f>IFERROR(VLOOKUP(C161,'Chemical Inventory'!$A$3:$T$202,8,FALSE),"")</f>
        <v/>
      </c>
      <c r="H161" s="6"/>
      <c r="I161" s="6"/>
      <c r="J161" s="6"/>
      <c r="K161" s="11"/>
    </row>
    <row r="162" spans="1:11">
      <c r="A162" s="10"/>
      <c r="B162" s="16"/>
      <c r="C162" s="6"/>
      <c r="D162" s="6" t="str">
        <f>IFERROR(VLOOKUP(C162,'Chemical Inventory'!$A$3:$T$202,2,FALSE),"")</f>
        <v/>
      </c>
      <c r="E162" s="6"/>
      <c r="F162" s="19"/>
      <c r="G162" s="6" t="str">
        <f>IFERROR(VLOOKUP(C162,'Chemical Inventory'!$A$3:$T$202,8,FALSE),"")</f>
        <v/>
      </c>
      <c r="H162" s="6"/>
      <c r="I162" s="6"/>
      <c r="J162" s="6"/>
      <c r="K162" s="11"/>
    </row>
    <row r="163" spans="1:11">
      <c r="A163" s="10"/>
      <c r="B163" s="16"/>
      <c r="C163" s="6"/>
      <c r="D163" s="6" t="str">
        <f>IFERROR(VLOOKUP(C163,'Chemical Inventory'!$A$3:$T$202,2,FALSE),"")</f>
        <v/>
      </c>
      <c r="E163" s="6"/>
      <c r="F163" s="19"/>
      <c r="G163" s="6" t="str">
        <f>IFERROR(VLOOKUP(C163,'Chemical Inventory'!$A$3:$T$202,8,FALSE),"")</f>
        <v/>
      </c>
      <c r="H163" s="6"/>
      <c r="I163" s="6"/>
      <c r="J163" s="6"/>
      <c r="K163" s="11"/>
    </row>
    <row r="164" spans="1:11">
      <c r="A164" s="10"/>
      <c r="B164" s="16"/>
      <c r="C164" s="6"/>
      <c r="D164" s="6" t="str">
        <f>IFERROR(VLOOKUP(C164,'Chemical Inventory'!$A$3:$T$202,2,FALSE),"")</f>
        <v/>
      </c>
      <c r="E164" s="6"/>
      <c r="F164" s="19"/>
      <c r="G164" s="6" t="str">
        <f>IFERROR(VLOOKUP(C164,'Chemical Inventory'!$A$3:$T$202,8,FALSE),"")</f>
        <v/>
      </c>
      <c r="H164" s="6"/>
      <c r="I164" s="6"/>
      <c r="J164" s="6"/>
      <c r="K164" s="11"/>
    </row>
    <row r="165" spans="1:11">
      <c r="A165" s="10"/>
      <c r="B165" s="16"/>
      <c r="C165" s="6"/>
      <c r="D165" s="6" t="str">
        <f>IFERROR(VLOOKUP(C165,'Chemical Inventory'!$A$3:$T$202,2,FALSE),"")</f>
        <v/>
      </c>
      <c r="E165" s="6"/>
      <c r="F165" s="19"/>
      <c r="G165" s="6" t="str">
        <f>IFERROR(VLOOKUP(C165,'Chemical Inventory'!$A$3:$T$202,8,FALSE),"")</f>
        <v/>
      </c>
      <c r="H165" s="6"/>
      <c r="I165" s="6"/>
      <c r="J165" s="6"/>
      <c r="K165" s="11"/>
    </row>
    <row r="166" spans="1:11">
      <c r="A166" s="10"/>
      <c r="B166" s="16"/>
      <c r="C166" s="6"/>
      <c r="D166" s="6" t="str">
        <f>IFERROR(VLOOKUP(C166,'Chemical Inventory'!$A$3:$T$202,2,FALSE),"")</f>
        <v/>
      </c>
      <c r="E166" s="6"/>
      <c r="F166" s="19"/>
      <c r="G166" s="6" t="str">
        <f>IFERROR(VLOOKUP(C166,'Chemical Inventory'!$A$3:$T$202,8,FALSE),"")</f>
        <v/>
      </c>
      <c r="H166" s="6"/>
      <c r="I166" s="6"/>
      <c r="J166" s="6"/>
      <c r="K166" s="11"/>
    </row>
    <row r="167" spans="1:11">
      <c r="A167" s="10"/>
      <c r="B167" s="16"/>
      <c r="C167" s="6"/>
      <c r="D167" s="6" t="str">
        <f>IFERROR(VLOOKUP(C167,'Chemical Inventory'!$A$3:$T$202,2,FALSE),"")</f>
        <v/>
      </c>
      <c r="E167" s="6"/>
      <c r="F167" s="19"/>
      <c r="G167" s="6" t="str">
        <f>IFERROR(VLOOKUP(C167,'Chemical Inventory'!$A$3:$T$202,8,FALSE),"")</f>
        <v/>
      </c>
      <c r="H167" s="6"/>
      <c r="I167" s="6"/>
      <c r="J167" s="6"/>
      <c r="K167" s="11"/>
    </row>
    <row r="168" spans="1:11">
      <c r="A168" s="10"/>
      <c r="B168" s="16"/>
      <c r="C168" s="6"/>
      <c r="D168" s="6" t="str">
        <f>IFERROR(VLOOKUP(C168,'Chemical Inventory'!$A$3:$T$202,2,FALSE),"")</f>
        <v/>
      </c>
      <c r="E168" s="6"/>
      <c r="F168" s="19"/>
      <c r="G168" s="6" t="str">
        <f>IFERROR(VLOOKUP(C168,'Chemical Inventory'!$A$3:$T$202,8,FALSE),"")</f>
        <v/>
      </c>
      <c r="H168" s="6"/>
      <c r="I168" s="6"/>
      <c r="J168" s="6"/>
      <c r="K168" s="11"/>
    </row>
    <row r="169" spans="1:11">
      <c r="A169" s="10"/>
      <c r="B169" s="16"/>
      <c r="C169" s="6"/>
      <c r="D169" s="6" t="str">
        <f>IFERROR(VLOOKUP(C169,'Chemical Inventory'!$A$3:$T$202,2,FALSE),"")</f>
        <v/>
      </c>
      <c r="E169" s="6"/>
      <c r="F169" s="19"/>
      <c r="G169" s="6" t="str">
        <f>IFERROR(VLOOKUP(C169,'Chemical Inventory'!$A$3:$T$202,8,FALSE),"")</f>
        <v/>
      </c>
      <c r="H169" s="6"/>
      <c r="I169" s="6"/>
      <c r="J169" s="6"/>
      <c r="K169" s="11"/>
    </row>
    <row r="170" spans="1:11">
      <c r="A170" s="10"/>
      <c r="B170" s="16"/>
      <c r="C170" s="6"/>
      <c r="D170" s="6" t="str">
        <f>IFERROR(VLOOKUP(C170,'Chemical Inventory'!$A$3:$T$202,2,FALSE),"")</f>
        <v/>
      </c>
      <c r="E170" s="6"/>
      <c r="F170" s="19"/>
      <c r="G170" s="6" t="str">
        <f>IFERROR(VLOOKUP(C170,'Chemical Inventory'!$A$3:$T$202,8,FALSE),"")</f>
        <v/>
      </c>
      <c r="H170" s="6"/>
      <c r="I170" s="6"/>
      <c r="J170" s="6"/>
      <c r="K170" s="11"/>
    </row>
    <row r="171" spans="1:11">
      <c r="A171" s="10"/>
      <c r="B171" s="16"/>
      <c r="C171" s="6"/>
      <c r="D171" s="6" t="str">
        <f>IFERROR(VLOOKUP(C171,'Chemical Inventory'!$A$3:$T$202,2,FALSE),"")</f>
        <v/>
      </c>
      <c r="E171" s="6"/>
      <c r="F171" s="19"/>
      <c r="G171" s="6" t="str">
        <f>IFERROR(VLOOKUP(C171,'Chemical Inventory'!$A$3:$T$202,8,FALSE),"")</f>
        <v/>
      </c>
      <c r="H171" s="6"/>
      <c r="I171" s="6"/>
      <c r="J171" s="6"/>
      <c r="K171" s="11"/>
    </row>
    <row r="172" spans="1:11">
      <c r="A172" s="10"/>
      <c r="B172" s="16"/>
      <c r="C172" s="6"/>
      <c r="D172" s="6" t="str">
        <f>IFERROR(VLOOKUP(C172,'Chemical Inventory'!$A$3:$T$202,2,FALSE),"")</f>
        <v/>
      </c>
      <c r="E172" s="6"/>
      <c r="F172" s="19"/>
      <c r="G172" s="6" t="str">
        <f>IFERROR(VLOOKUP(C172,'Chemical Inventory'!$A$3:$T$202,8,FALSE),"")</f>
        <v/>
      </c>
      <c r="H172" s="6"/>
      <c r="I172" s="6"/>
      <c r="J172" s="6"/>
      <c r="K172" s="11"/>
    </row>
    <row r="173" spans="1:11">
      <c r="A173" s="10"/>
      <c r="B173" s="16"/>
      <c r="C173" s="6"/>
      <c r="D173" s="6" t="str">
        <f>IFERROR(VLOOKUP(C173,'Chemical Inventory'!$A$3:$T$202,2,FALSE),"")</f>
        <v/>
      </c>
      <c r="E173" s="6"/>
      <c r="F173" s="19"/>
      <c r="G173" s="6" t="str">
        <f>IFERROR(VLOOKUP(C173,'Chemical Inventory'!$A$3:$T$202,8,FALSE),"")</f>
        <v/>
      </c>
      <c r="H173" s="6"/>
      <c r="I173" s="6"/>
      <c r="J173" s="6"/>
      <c r="K173" s="11"/>
    </row>
    <row r="174" spans="1:11">
      <c r="A174" s="10"/>
      <c r="B174" s="16"/>
      <c r="C174" s="6"/>
      <c r="D174" s="6" t="str">
        <f>IFERROR(VLOOKUP(C174,'Chemical Inventory'!$A$3:$T$202,2,FALSE),"")</f>
        <v/>
      </c>
      <c r="E174" s="6"/>
      <c r="F174" s="19"/>
      <c r="G174" s="6" t="str">
        <f>IFERROR(VLOOKUP(C174,'Chemical Inventory'!$A$3:$T$202,8,FALSE),"")</f>
        <v/>
      </c>
      <c r="H174" s="6"/>
      <c r="I174" s="6"/>
      <c r="J174" s="6"/>
      <c r="K174" s="11"/>
    </row>
    <row r="175" spans="1:11">
      <c r="A175" s="10"/>
      <c r="B175" s="16"/>
      <c r="C175" s="6"/>
      <c r="D175" s="6" t="str">
        <f>IFERROR(VLOOKUP(C175,'Chemical Inventory'!$A$3:$T$202,2,FALSE),"")</f>
        <v/>
      </c>
      <c r="E175" s="6"/>
      <c r="F175" s="19"/>
      <c r="G175" s="6" t="str">
        <f>IFERROR(VLOOKUP(C175,'Chemical Inventory'!$A$3:$T$202,8,FALSE),"")</f>
        <v/>
      </c>
      <c r="H175" s="6"/>
      <c r="I175" s="6"/>
      <c r="J175" s="6"/>
      <c r="K175" s="11"/>
    </row>
    <row r="176" spans="1:11">
      <c r="A176" s="10"/>
      <c r="B176" s="16"/>
      <c r="C176" s="6"/>
      <c r="D176" s="6" t="str">
        <f>IFERROR(VLOOKUP(C176,'Chemical Inventory'!$A$3:$T$202,2,FALSE),"")</f>
        <v/>
      </c>
      <c r="E176" s="6"/>
      <c r="F176" s="19"/>
      <c r="G176" s="6" t="str">
        <f>IFERROR(VLOOKUP(C176,'Chemical Inventory'!$A$3:$T$202,8,FALSE),"")</f>
        <v/>
      </c>
      <c r="H176" s="6"/>
      <c r="I176" s="6"/>
      <c r="J176" s="6"/>
      <c r="K176" s="11"/>
    </row>
    <row r="177" spans="1:11">
      <c r="A177" s="10"/>
      <c r="B177" s="16"/>
      <c r="C177" s="6"/>
      <c r="D177" s="6" t="str">
        <f>IFERROR(VLOOKUP(C177,'Chemical Inventory'!$A$3:$T$202,2,FALSE),"")</f>
        <v/>
      </c>
      <c r="E177" s="6"/>
      <c r="F177" s="19"/>
      <c r="G177" s="6" t="str">
        <f>IFERROR(VLOOKUP(C177,'Chemical Inventory'!$A$3:$T$202,8,FALSE),"")</f>
        <v/>
      </c>
      <c r="H177" s="6"/>
      <c r="I177" s="6"/>
      <c r="J177" s="6"/>
      <c r="K177" s="11"/>
    </row>
    <row r="178" spans="1:11">
      <c r="A178" s="10"/>
      <c r="B178" s="16"/>
      <c r="C178" s="6"/>
      <c r="D178" s="6" t="str">
        <f>IFERROR(VLOOKUP(C178,'Chemical Inventory'!$A$3:$T$202,2,FALSE),"")</f>
        <v/>
      </c>
      <c r="E178" s="6"/>
      <c r="F178" s="19"/>
      <c r="G178" s="6" t="str">
        <f>IFERROR(VLOOKUP(C178,'Chemical Inventory'!$A$3:$T$202,8,FALSE),"")</f>
        <v/>
      </c>
      <c r="H178" s="6"/>
      <c r="I178" s="6"/>
      <c r="J178" s="6"/>
      <c r="K178" s="11"/>
    </row>
    <row r="179" spans="1:11">
      <c r="A179" s="10"/>
      <c r="B179" s="16"/>
      <c r="C179" s="6"/>
      <c r="D179" s="6" t="str">
        <f>IFERROR(VLOOKUP(C179,'Chemical Inventory'!$A$3:$T$202,2,FALSE),"")</f>
        <v/>
      </c>
      <c r="E179" s="6"/>
      <c r="F179" s="19"/>
      <c r="G179" s="6" t="str">
        <f>IFERROR(VLOOKUP(C179,'Chemical Inventory'!$A$3:$T$202,8,FALSE),"")</f>
        <v/>
      </c>
      <c r="H179" s="6"/>
      <c r="I179" s="6"/>
      <c r="J179" s="6"/>
      <c r="K179" s="11"/>
    </row>
    <row r="180" spans="1:11">
      <c r="A180" s="10"/>
      <c r="B180" s="16"/>
      <c r="C180" s="6"/>
      <c r="D180" s="6" t="str">
        <f>IFERROR(VLOOKUP(C180,'Chemical Inventory'!$A$3:$T$202,2,FALSE),"")</f>
        <v/>
      </c>
      <c r="E180" s="6"/>
      <c r="F180" s="19"/>
      <c r="G180" s="6" t="str">
        <f>IFERROR(VLOOKUP(C180,'Chemical Inventory'!$A$3:$T$202,8,FALSE),"")</f>
        <v/>
      </c>
      <c r="H180" s="6"/>
      <c r="I180" s="6"/>
      <c r="J180" s="6"/>
      <c r="K180" s="11"/>
    </row>
    <row r="181" spans="1:11">
      <c r="A181" s="10"/>
      <c r="B181" s="16"/>
      <c r="C181" s="6"/>
      <c r="D181" s="6" t="str">
        <f>IFERROR(VLOOKUP(C181,'Chemical Inventory'!$A$3:$T$202,2,FALSE),"")</f>
        <v/>
      </c>
      <c r="E181" s="6"/>
      <c r="F181" s="19"/>
      <c r="G181" s="6" t="str">
        <f>IFERROR(VLOOKUP(C181,'Chemical Inventory'!$A$3:$T$202,8,FALSE),"")</f>
        <v/>
      </c>
      <c r="H181" s="6"/>
      <c r="I181" s="6"/>
      <c r="J181" s="6"/>
      <c r="K181" s="11"/>
    </row>
    <row r="182" spans="1:11">
      <c r="A182" s="10"/>
      <c r="B182" s="16"/>
      <c r="C182" s="6"/>
      <c r="D182" s="6" t="str">
        <f>IFERROR(VLOOKUP(C182,'Chemical Inventory'!$A$3:$T$202,2,FALSE),"")</f>
        <v/>
      </c>
      <c r="E182" s="6"/>
      <c r="F182" s="19"/>
      <c r="G182" s="6" t="str">
        <f>IFERROR(VLOOKUP(C182,'Chemical Inventory'!$A$3:$T$202,8,FALSE),"")</f>
        <v/>
      </c>
      <c r="H182" s="6"/>
      <c r="I182" s="6"/>
      <c r="J182" s="6"/>
      <c r="K182" s="11"/>
    </row>
    <row r="183" spans="1:11">
      <c r="A183" s="10"/>
      <c r="B183" s="16"/>
      <c r="C183" s="6"/>
      <c r="D183" s="6" t="str">
        <f>IFERROR(VLOOKUP(C183,'Chemical Inventory'!$A$3:$T$202,2,FALSE),"")</f>
        <v/>
      </c>
      <c r="E183" s="6"/>
      <c r="F183" s="19"/>
      <c r="G183" s="6" t="str">
        <f>IFERROR(VLOOKUP(C183,'Chemical Inventory'!$A$3:$T$202,8,FALSE),"")</f>
        <v/>
      </c>
      <c r="H183" s="6"/>
      <c r="I183" s="6"/>
      <c r="J183" s="6"/>
      <c r="K183" s="11"/>
    </row>
    <row r="184" spans="1:11">
      <c r="A184" s="10"/>
      <c r="B184" s="16"/>
      <c r="C184" s="6"/>
      <c r="D184" s="6" t="str">
        <f>IFERROR(VLOOKUP(C184,'Chemical Inventory'!$A$3:$T$202,2,FALSE),"")</f>
        <v/>
      </c>
      <c r="E184" s="6"/>
      <c r="F184" s="19"/>
      <c r="G184" s="6" t="str">
        <f>IFERROR(VLOOKUP(C184,'Chemical Inventory'!$A$3:$T$202,8,FALSE),"")</f>
        <v/>
      </c>
      <c r="H184" s="6"/>
      <c r="I184" s="6"/>
      <c r="J184" s="6"/>
      <c r="K184" s="11"/>
    </row>
    <row r="185" spans="1:11">
      <c r="A185" s="10"/>
      <c r="B185" s="16"/>
      <c r="C185" s="6"/>
      <c r="D185" s="6" t="str">
        <f>IFERROR(VLOOKUP(C185,'Chemical Inventory'!$A$3:$T$202,2,FALSE),"")</f>
        <v/>
      </c>
      <c r="E185" s="6"/>
      <c r="F185" s="19"/>
      <c r="G185" s="6" t="str">
        <f>IFERROR(VLOOKUP(C185,'Chemical Inventory'!$A$3:$T$202,8,FALSE),"")</f>
        <v/>
      </c>
      <c r="H185" s="6"/>
      <c r="I185" s="6"/>
      <c r="J185" s="6"/>
      <c r="K185" s="11"/>
    </row>
    <row r="186" spans="1:11">
      <c r="A186" s="10"/>
      <c r="B186" s="16"/>
      <c r="C186" s="6"/>
      <c r="D186" s="6" t="str">
        <f>IFERROR(VLOOKUP(C186,'Chemical Inventory'!$A$3:$T$202,2,FALSE),"")</f>
        <v/>
      </c>
      <c r="E186" s="6"/>
      <c r="F186" s="19"/>
      <c r="G186" s="6" t="str">
        <f>IFERROR(VLOOKUP(C186,'Chemical Inventory'!$A$3:$T$202,8,FALSE),"")</f>
        <v/>
      </c>
      <c r="H186" s="6"/>
      <c r="I186" s="6"/>
      <c r="J186" s="6"/>
      <c r="K186" s="11"/>
    </row>
    <row r="187" spans="1:11">
      <c r="A187" s="10"/>
      <c r="B187" s="16"/>
      <c r="C187" s="6"/>
      <c r="D187" s="6" t="str">
        <f>IFERROR(VLOOKUP(C187,'Chemical Inventory'!$A$3:$T$202,2,FALSE),"")</f>
        <v/>
      </c>
      <c r="E187" s="6"/>
      <c r="F187" s="19"/>
      <c r="G187" s="6" t="str">
        <f>IFERROR(VLOOKUP(C187,'Chemical Inventory'!$A$3:$T$202,8,FALSE),"")</f>
        <v/>
      </c>
      <c r="H187" s="6"/>
      <c r="I187" s="6"/>
      <c r="J187" s="6"/>
      <c r="K187" s="11"/>
    </row>
    <row r="188" spans="1:11">
      <c r="A188" s="10"/>
      <c r="B188" s="16"/>
      <c r="C188" s="6"/>
      <c r="D188" s="6" t="str">
        <f>IFERROR(VLOOKUP(C188,'Chemical Inventory'!$A$3:$T$202,2,FALSE),"")</f>
        <v/>
      </c>
      <c r="E188" s="6"/>
      <c r="F188" s="19"/>
      <c r="G188" s="6" t="str">
        <f>IFERROR(VLOOKUP(C188,'Chemical Inventory'!$A$3:$T$202,8,FALSE),"")</f>
        <v/>
      </c>
      <c r="H188" s="6"/>
      <c r="I188" s="6"/>
      <c r="J188" s="6"/>
      <c r="K188" s="11"/>
    </row>
    <row r="189" spans="1:11">
      <c r="A189" s="10"/>
      <c r="B189" s="16"/>
      <c r="C189" s="6"/>
      <c r="D189" s="6" t="str">
        <f>IFERROR(VLOOKUP(C189,'Chemical Inventory'!$A$3:$T$202,2,FALSE),"")</f>
        <v/>
      </c>
      <c r="E189" s="6"/>
      <c r="F189" s="19"/>
      <c r="G189" s="6" t="str">
        <f>IFERROR(VLOOKUP(C189,'Chemical Inventory'!$A$3:$T$202,8,FALSE),"")</f>
        <v/>
      </c>
      <c r="H189" s="6"/>
      <c r="I189" s="6"/>
      <c r="J189" s="6"/>
      <c r="K189" s="11"/>
    </row>
    <row r="190" spans="1:11">
      <c r="A190" s="10"/>
      <c r="B190" s="16"/>
      <c r="C190" s="6"/>
      <c r="D190" s="6" t="str">
        <f>IFERROR(VLOOKUP(C190,'Chemical Inventory'!$A$3:$T$202,2,FALSE),"")</f>
        <v/>
      </c>
      <c r="E190" s="6"/>
      <c r="F190" s="19"/>
      <c r="G190" s="6" t="str">
        <f>IFERROR(VLOOKUP(C190,'Chemical Inventory'!$A$3:$T$202,8,FALSE),"")</f>
        <v/>
      </c>
      <c r="H190" s="6"/>
      <c r="I190" s="6"/>
      <c r="J190" s="6"/>
      <c r="K190" s="11"/>
    </row>
    <row r="191" spans="1:11">
      <c r="A191" s="10"/>
      <c r="B191" s="16"/>
      <c r="C191" s="6"/>
      <c r="D191" s="6" t="str">
        <f>IFERROR(VLOOKUP(C191,'Chemical Inventory'!$A$3:$T$202,2,FALSE),"")</f>
        <v/>
      </c>
      <c r="E191" s="6"/>
      <c r="F191" s="19"/>
      <c r="G191" s="6" t="str">
        <f>IFERROR(VLOOKUP(C191,'Chemical Inventory'!$A$3:$T$202,8,FALSE),"")</f>
        <v/>
      </c>
      <c r="H191" s="6"/>
      <c r="I191" s="6"/>
      <c r="J191" s="6"/>
      <c r="K191" s="11"/>
    </row>
    <row r="192" spans="1:11">
      <c r="A192" s="10"/>
      <c r="B192" s="16"/>
      <c r="C192" s="6"/>
      <c r="D192" s="6" t="str">
        <f>IFERROR(VLOOKUP(C192,'Chemical Inventory'!$A$3:$T$202,2,FALSE),"")</f>
        <v/>
      </c>
      <c r="E192" s="6"/>
      <c r="F192" s="19"/>
      <c r="G192" s="6" t="str">
        <f>IFERROR(VLOOKUP(C192,'Chemical Inventory'!$A$3:$T$202,8,FALSE),"")</f>
        <v/>
      </c>
      <c r="H192" s="6"/>
      <c r="I192" s="6"/>
      <c r="J192" s="6"/>
      <c r="K192" s="11"/>
    </row>
    <row r="193" spans="1:11">
      <c r="A193" s="10"/>
      <c r="B193" s="16"/>
      <c r="C193" s="6"/>
      <c r="D193" s="6" t="str">
        <f>IFERROR(VLOOKUP(C193,'Chemical Inventory'!$A$3:$T$202,2,FALSE),"")</f>
        <v/>
      </c>
      <c r="E193" s="6"/>
      <c r="F193" s="19"/>
      <c r="G193" s="6" t="str">
        <f>IFERROR(VLOOKUP(C193,'Chemical Inventory'!$A$3:$T$202,8,FALSE),"")</f>
        <v/>
      </c>
      <c r="H193" s="6"/>
      <c r="I193" s="6"/>
      <c r="J193" s="6"/>
      <c r="K193" s="11"/>
    </row>
    <row r="194" spans="1:11">
      <c r="A194" s="10"/>
      <c r="B194" s="16"/>
      <c r="C194" s="6"/>
      <c r="D194" s="6" t="str">
        <f>IFERROR(VLOOKUP(C194,'Chemical Inventory'!$A$3:$T$202,2,FALSE),"")</f>
        <v/>
      </c>
      <c r="E194" s="6"/>
      <c r="F194" s="19"/>
      <c r="G194" s="6" t="str">
        <f>IFERROR(VLOOKUP(C194,'Chemical Inventory'!$A$3:$T$202,8,FALSE),"")</f>
        <v/>
      </c>
      <c r="H194" s="6"/>
      <c r="I194" s="6"/>
      <c r="J194" s="6"/>
      <c r="K194" s="11"/>
    </row>
    <row r="195" spans="1:11">
      <c r="A195" s="10"/>
      <c r="B195" s="16"/>
      <c r="C195" s="6"/>
      <c r="D195" s="6" t="str">
        <f>IFERROR(VLOOKUP(C195,'Chemical Inventory'!$A$3:$T$202,2,FALSE),"")</f>
        <v/>
      </c>
      <c r="E195" s="6"/>
      <c r="F195" s="19"/>
      <c r="G195" s="6" t="str">
        <f>IFERROR(VLOOKUP(C195,'Chemical Inventory'!$A$3:$T$202,8,FALSE),"")</f>
        <v/>
      </c>
      <c r="H195" s="6"/>
      <c r="I195" s="6"/>
      <c r="J195" s="6"/>
      <c r="K195" s="11"/>
    </row>
    <row r="196" spans="1:11">
      <c r="A196" s="10"/>
      <c r="B196" s="16"/>
      <c r="C196" s="6"/>
      <c r="D196" s="6" t="str">
        <f>IFERROR(VLOOKUP(C196,'Chemical Inventory'!$A$3:$T$202,2,FALSE),"")</f>
        <v/>
      </c>
      <c r="E196" s="6"/>
      <c r="F196" s="19"/>
      <c r="G196" s="6" t="str">
        <f>IFERROR(VLOOKUP(C196,'Chemical Inventory'!$A$3:$T$202,8,FALSE),"")</f>
        <v/>
      </c>
      <c r="H196" s="6"/>
      <c r="I196" s="6"/>
      <c r="J196" s="6"/>
      <c r="K196" s="11"/>
    </row>
    <row r="197" spans="1:11">
      <c r="A197" s="10"/>
      <c r="B197" s="16"/>
      <c r="C197" s="6"/>
      <c r="D197" s="6" t="str">
        <f>IFERROR(VLOOKUP(C197,'Chemical Inventory'!$A$3:$T$202,2,FALSE),"")</f>
        <v/>
      </c>
      <c r="E197" s="6"/>
      <c r="F197" s="19"/>
      <c r="G197" s="6" t="str">
        <f>IFERROR(VLOOKUP(C197,'Chemical Inventory'!$A$3:$T$202,8,FALSE),"")</f>
        <v/>
      </c>
      <c r="H197" s="6"/>
      <c r="I197" s="6"/>
      <c r="J197" s="6"/>
      <c r="K197" s="11"/>
    </row>
    <row r="198" spans="1:11">
      <c r="A198" s="10"/>
      <c r="B198" s="16"/>
      <c r="C198" s="6"/>
      <c r="D198" s="6" t="str">
        <f>IFERROR(VLOOKUP(C198,'Chemical Inventory'!$A$3:$T$202,2,FALSE),"")</f>
        <v/>
      </c>
      <c r="E198" s="6"/>
      <c r="F198" s="19"/>
      <c r="G198" s="6" t="str">
        <f>IFERROR(VLOOKUP(C198,'Chemical Inventory'!$A$3:$T$202,8,FALSE),"")</f>
        <v/>
      </c>
      <c r="H198" s="6"/>
      <c r="I198" s="6"/>
      <c r="J198" s="6"/>
      <c r="K198" s="11"/>
    </row>
    <row r="199" spans="1:11">
      <c r="A199" s="10"/>
      <c r="B199" s="16"/>
      <c r="C199" s="6"/>
      <c r="D199" s="6" t="str">
        <f>IFERROR(VLOOKUP(C199,'Chemical Inventory'!$A$3:$T$202,2,FALSE),"")</f>
        <v/>
      </c>
      <c r="E199" s="6"/>
      <c r="F199" s="19"/>
      <c r="G199" s="6" t="str">
        <f>IFERROR(VLOOKUP(C199,'Chemical Inventory'!$A$3:$T$202,8,FALSE),"")</f>
        <v/>
      </c>
      <c r="H199" s="6"/>
      <c r="I199" s="6"/>
      <c r="J199" s="6"/>
      <c r="K199" s="11"/>
    </row>
    <row r="200" spans="1:11">
      <c r="A200" s="10"/>
      <c r="B200" s="16"/>
      <c r="C200" s="6"/>
      <c r="D200" s="6" t="str">
        <f>IFERROR(VLOOKUP(C200,'Chemical Inventory'!$A$3:$T$202,2,FALSE),"")</f>
        <v/>
      </c>
      <c r="E200" s="6"/>
      <c r="F200" s="19"/>
      <c r="G200" s="6" t="str">
        <f>IFERROR(VLOOKUP(C200,'Chemical Inventory'!$A$3:$T$202,8,FALSE),"")</f>
        <v/>
      </c>
      <c r="H200" s="6"/>
      <c r="I200" s="6"/>
      <c r="J200" s="6"/>
      <c r="K200" s="11"/>
    </row>
    <row r="201" spans="1:11">
      <c r="A201" s="10"/>
      <c r="B201" s="16"/>
      <c r="C201" s="6"/>
      <c r="D201" s="6" t="str">
        <f>IFERROR(VLOOKUP(C201,'Chemical Inventory'!$A$3:$T$202,2,FALSE),"")</f>
        <v/>
      </c>
      <c r="E201" s="6"/>
      <c r="F201" s="19"/>
      <c r="G201" s="6" t="str">
        <f>IFERROR(VLOOKUP(C201,'Chemical Inventory'!$A$3:$T$202,8,FALSE),"")</f>
        <v/>
      </c>
      <c r="H201" s="6"/>
      <c r="I201" s="6"/>
      <c r="J201" s="6"/>
      <c r="K201" s="11"/>
    </row>
    <row r="202" spans="1:11">
      <c r="A202" s="12"/>
      <c r="B202" s="17"/>
      <c r="C202" s="13"/>
      <c r="D202" s="13" t="str">
        <f>IFERROR(VLOOKUP(C202,'Chemical Inventory'!$A$3:$T$202,2,FALSE),"")</f>
        <v/>
      </c>
      <c r="E202" s="13"/>
      <c r="F202" s="20"/>
      <c r="G202" s="13" t="str">
        <f>IFERROR(VLOOKUP(C202,'Chemical Inventory'!$A$3:$T$202,8,FALSE),"")</f>
        <v/>
      </c>
      <c r="H202" s="13"/>
      <c r="I202" s="13"/>
      <c r="J202" s="13"/>
      <c r="K202" s="14"/>
    </row>
  </sheetData>
  <mergeCells count="1">
    <mergeCell ref="A1:K1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200-000000000000}">
          <x14:formula1>
            <xm:f>Lists!$F$4:$F$7</xm:f>
          </x14:formula1>
          <xm:sqref>E3:E202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02"/>
  <sheetViews>
    <sheetView workbookViewId="0">
      <selection sqref="A1:U1"/>
    </sheetView>
  </sheetViews>
  <sheetFormatPr defaultRowHeight="13.5"/>
  <cols>
    <col min="1" max="1" width="14" customWidth="1"/>
    <col min="2" max="2" width="25" customWidth="1"/>
    <col min="3" max="3" width="20" customWidth="1"/>
    <col min="4" max="8" width="18" customWidth="1"/>
    <col min="9" max="9" width="13" customWidth="1"/>
    <col min="10" max="10" width="22" customWidth="1"/>
    <col min="11" max="11" width="16" customWidth="1"/>
    <col min="12" max="13" width="18" customWidth="1"/>
    <col min="14" max="15" width="14" customWidth="1"/>
    <col min="16" max="16" width="18" customWidth="1"/>
    <col min="17" max="18" width="14" customWidth="1"/>
    <col min="19" max="19" width="24" customWidth="1"/>
    <col min="20" max="20" width="18" customWidth="1"/>
    <col min="21" max="21" width="30" customWidth="1"/>
  </cols>
  <sheetData>
    <row r="1" spans="1:21" ht="15" customHeight="1">
      <c r="A1" s="39" t="s">
        <v>58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</row>
    <row r="2" spans="1:21" ht="27.75">
      <c r="A2" s="2" t="s">
        <v>59</v>
      </c>
      <c r="B2" s="3" t="s">
        <v>60</v>
      </c>
      <c r="C2" s="3" t="s">
        <v>61</v>
      </c>
      <c r="D2" s="3" t="s">
        <v>62</v>
      </c>
      <c r="E2" s="3" t="s">
        <v>63</v>
      </c>
      <c r="F2" s="3" t="s">
        <v>64</v>
      </c>
      <c r="G2" s="3" t="s">
        <v>65</v>
      </c>
      <c r="H2" s="3" t="s">
        <v>47</v>
      </c>
      <c r="I2" s="3" t="s">
        <v>66</v>
      </c>
      <c r="J2" s="3" t="s">
        <v>67</v>
      </c>
      <c r="K2" s="3" t="s">
        <v>68</v>
      </c>
      <c r="L2" s="3" t="s">
        <v>69</v>
      </c>
      <c r="M2" s="3" t="s">
        <v>70</v>
      </c>
      <c r="N2" s="3" t="s">
        <v>71</v>
      </c>
      <c r="O2" s="3" t="s">
        <v>72</v>
      </c>
      <c r="P2" s="3" t="s">
        <v>73</v>
      </c>
      <c r="Q2" s="3" t="s">
        <v>74</v>
      </c>
      <c r="R2" s="3" t="s">
        <v>75</v>
      </c>
      <c r="S2" s="3" t="s">
        <v>76</v>
      </c>
      <c r="T2" s="3" t="s">
        <v>77</v>
      </c>
      <c r="U2" s="4" t="s">
        <v>49</v>
      </c>
    </row>
    <row r="3" spans="1:21">
      <c r="A3" s="7"/>
      <c r="B3" s="8"/>
      <c r="C3" s="8"/>
      <c r="D3" s="8"/>
      <c r="E3" s="8"/>
      <c r="F3" s="8"/>
      <c r="G3" s="8"/>
      <c r="H3" s="8"/>
      <c r="I3" s="15"/>
      <c r="J3" s="8"/>
      <c r="K3" s="8"/>
      <c r="L3" s="8"/>
      <c r="M3" s="8"/>
      <c r="N3" s="15"/>
      <c r="O3" s="15" t="str">
        <f t="shared" ref="O3:O34" si="0">IF(OR(N3="",M3=""),"",DATE(YEAR(N3),MONTH(N3)+M3,DAY(N3)))</f>
        <v/>
      </c>
      <c r="P3" s="8"/>
      <c r="Q3" s="15"/>
      <c r="R3" s="15" t="str">
        <f t="shared" ref="R3:R34" si="1">IF(OR(Q3="",P3=""),"",DATE(YEAR(Q3),MONTH(Q3)+P3,DAY(Q3)))</f>
        <v/>
      </c>
      <c r="S3" s="8"/>
      <c r="T3" s="8"/>
      <c r="U3" s="9"/>
    </row>
    <row r="4" spans="1:21">
      <c r="A4" s="10"/>
      <c r="B4" s="6"/>
      <c r="C4" s="6"/>
      <c r="D4" s="6"/>
      <c r="E4" s="6"/>
      <c r="F4" s="6"/>
      <c r="G4" s="6"/>
      <c r="H4" s="6"/>
      <c r="I4" s="16"/>
      <c r="J4" s="6"/>
      <c r="K4" s="6"/>
      <c r="L4" s="6"/>
      <c r="M4" s="6"/>
      <c r="N4" s="16"/>
      <c r="O4" s="16" t="str">
        <f t="shared" si="0"/>
        <v/>
      </c>
      <c r="P4" s="6"/>
      <c r="Q4" s="16"/>
      <c r="R4" s="16" t="str">
        <f t="shared" si="1"/>
        <v/>
      </c>
      <c r="S4" s="6"/>
      <c r="T4" s="6"/>
      <c r="U4" s="11"/>
    </row>
    <row r="5" spans="1:21">
      <c r="A5" s="10"/>
      <c r="B5" s="6"/>
      <c r="C5" s="6"/>
      <c r="D5" s="6"/>
      <c r="E5" s="6"/>
      <c r="F5" s="6"/>
      <c r="G5" s="6"/>
      <c r="H5" s="6"/>
      <c r="I5" s="16"/>
      <c r="J5" s="6"/>
      <c r="K5" s="6"/>
      <c r="L5" s="6"/>
      <c r="M5" s="6"/>
      <c r="N5" s="16"/>
      <c r="O5" s="16" t="str">
        <f t="shared" si="0"/>
        <v/>
      </c>
      <c r="P5" s="6"/>
      <c r="Q5" s="16"/>
      <c r="R5" s="16" t="str">
        <f t="shared" si="1"/>
        <v/>
      </c>
      <c r="S5" s="6"/>
      <c r="T5" s="6"/>
      <c r="U5" s="11"/>
    </row>
    <row r="6" spans="1:21">
      <c r="A6" s="10"/>
      <c r="B6" s="6"/>
      <c r="C6" s="6"/>
      <c r="D6" s="6"/>
      <c r="E6" s="6"/>
      <c r="F6" s="6"/>
      <c r="G6" s="6"/>
      <c r="H6" s="6"/>
      <c r="I6" s="16"/>
      <c r="J6" s="6"/>
      <c r="K6" s="6"/>
      <c r="L6" s="6"/>
      <c r="M6" s="6"/>
      <c r="N6" s="16"/>
      <c r="O6" s="16" t="str">
        <f t="shared" si="0"/>
        <v/>
      </c>
      <c r="P6" s="6"/>
      <c r="Q6" s="16"/>
      <c r="R6" s="16" t="str">
        <f t="shared" si="1"/>
        <v/>
      </c>
      <c r="S6" s="6"/>
      <c r="T6" s="6"/>
      <c r="U6" s="11"/>
    </row>
    <row r="7" spans="1:21">
      <c r="A7" s="10"/>
      <c r="B7" s="6"/>
      <c r="C7" s="6"/>
      <c r="D7" s="6"/>
      <c r="E7" s="6"/>
      <c r="F7" s="6"/>
      <c r="G7" s="6"/>
      <c r="H7" s="6"/>
      <c r="I7" s="16"/>
      <c r="J7" s="6"/>
      <c r="K7" s="6"/>
      <c r="L7" s="6"/>
      <c r="M7" s="6"/>
      <c r="N7" s="16"/>
      <c r="O7" s="16" t="str">
        <f t="shared" si="0"/>
        <v/>
      </c>
      <c r="P7" s="6"/>
      <c r="Q7" s="16"/>
      <c r="R7" s="16" t="str">
        <f t="shared" si="1"/>
        <v/>
      </c>
      <c r="S7" s="6"/>
      <c r="T7" s="6"/>
      <c r="U7" s="11"/>
    </row>
    <row r="8" spans="1:21">
      <c r="A8" s="10"/>
      <c r="B8" s="6"/>
      <c r="C8" s="6"/>
      <c r="D8" s="6"/>
      <c r="E8" s="6"/>
      <c r="F8" s="6"/>
      <c r="G8" s="6"/>
      <c r="H8" s="6"/>
      <c r="I8" s="16"/>
      <c r="J8" s="6"/>
      <c r="K8" s="6"/>
      <c r="L8" s="6"/>
      <c r="M8" s="6"/>
      <c r="N8" s="16"/>
      <c r="O8" s="16" t="str">
        <f t="shared" si="0"/>
        <v/>
      </c>
      <c r="P8" s="6"/>
      <c r="Q8" s="16"/>
      <c r="R8" s="16" t="str">
        <f t="shared" si="1"/>
        <v/>
      </c>
      <c r="S8" s="6"/>
      <c r="T8" s="6"/>
      <c r="U8" s="11"/>
    </row>
    <row r="9" spans="1:21">
      <c r="A9" s="10"/>
      <c r="B9" s="6"/>
      <c r="C9" s="6"/>
      <c r="D9" s="6"/>
      <c r="E9" s="6"/>
      <c r="F9" s="6"/>
      <c r="G9" s="6"/>
      <c r="H9" s="6"/>
      <c r="I9" s="16"/>
      <c r="J9" s="6"/>
      <c r="K9" s="6"/>
      <c r="L9" s="6"/>
      <c r="M9" s="6"/>
      <c r="N9" s="16"/>
      <c r="O9" s="16" t="str">
        <f t="shared" si="0"/>
        <v/>
      </c>
      <c r="P9" s="6"/>
      <c r="Q9" s="16"/>
      <c r="R9" s="16" t="str">
        <f t="shared" si="1"/>
        <v/>
      </c>
      <c r="S9" s="6"/>
      <c r="T9" s="6"/>
      <c r="U9" s="11"/>
    </row>
    <row r="10" spans="1:21">
      <c r="A10" s="10"/>
      <c r="B10" s="6"/>
      <c r="C10" s="6"/>
      <c r="D10" s="6"/>
      <c r="E10" s="6"/>
      <c r="F10" s="6"/>
      <c r="G10" s="6"/>
      <c r="H10" s="6"/>
      <c r="I10" s="16"/>
      <c r="J10" s="6"/>
      <c r="K10" s="6"/>
      <c r="L10" s="6"/>
      <c r="M10" s="6"/>
      <c r="N10" s="16"/>
      <c r="O10" s="16" t="str">
        <f t="shared" si="0"/>
        <v/>
      </c>
      <c r="P10" s="6"/>
      <c r="Q10" s="16"/>
      <c r="R10" s="16" t="str">
        <f t="shared" si="1"/>
        <v/>
      </c>
      <c r="S10" s="6"/>
      <c r="T10" s="6"/>
      <c r="U10" s="11"/>
    </row>
    <row r="11" spans="1:21">
      <c r="A11" s="10"/>
      <c r="B11" s="6"/>
      <c r="C11" s="6"/>
      <c r="D11" s="6"/>
      <c r="E11" s="6"/>
      <c r="F11" s="6"/>
      <c r="G11" s="6"/>
      <c r="H11" s="6"/>
      <c r="I11" s="16"/>
      <c r="J11" s="6"/>
      <c r="K11" s="6"/>
      <c r="L11" s="6"/>
      <c r="M11" s="6"/>
      <c r="N11" s="16"/>
      <c r="O11" s="16" t="str">
        <f t="shared" si="0"/>
        <v/>
      </c>
      <c r="P11" s="6"/>
      <c r="Q11" s="16"/>
      <c r="R11" s="16" t="str">
        <f t="shared" si="1"/>
        <v/>
      </c>
      <c r="S11" s="6"/>
      <c r="T11" s="6"/>
      <c r="U11" s="11"/>
    </row>
    <row r="12" spans="1:21">
      <c r="A12" s="10"/>
      <c r="B12" s="6"/>
      <c r="C12" s="6"/>
      <c r="D12" s="6"/>
      <c r="E12" s="6"/>
      <c r="F12" s="6"/>
      <c r="G12" s="6"/>
      <c r="H12" s="6"/>
      <c r="I12" s="16"/>
      <c r="J12" s="6"/>
      <c r="K12" s="6"/>
      <c r="L12" s="6"/>
      <c r="M12" s="6"/>
      <c r="N12" s="16"/>
      <c r="O12" s="16" t="str">
        <f t="shared" si="0"/>
        <v/>
      </c>
      <c r="P12" s="6"/>
      <c r="Q12" s="16"/>
      <c r="R12" s="16" t="str">
        <f t="shared" si="1"/>
        <v/>
      </c>
      <c r="S12" s="6"/>
      <c r="T12" s="6"/>
      <c r="U12" s="11"/>
    </row>
    <row r="13" spans="1:21">
      <c r="A13" s="10"/>
      <c r="B13" s="6"/>
      <c r="C13" s="6"/>
      <c r="D13" s="6"/>
      <c r="E13" s="6"/>
      <c r="F13" s="6"/>
      <c r="G13" s="6"/>
      <c r="H13" s="6"/>
      <c r="I13" s="16"/>
      <c r="J13" s="6"/>
      <c r="K13" s="6"/>
      <c r="L13" s="6"/>
      <c r="M13" s="6"/>
      <c r="N13" s="16"/>
      <c r="O13" s="16" t="str">
        <f t="shared" si="0"/>
        <v/>
      </c>
      <c r="P13" s="6"/>
      <c r="Q13" s="16"/>
      <c r="R13" s="16" t="str">
        <f t="shared" si="1"/>
        <v/>
      </c>
      <c r="S13" s="6"/>
      <c r="T13" s="6"/>
      <c r="U13" s="11"/>
    </row>
    <row r="14" spans="1:21">
      <c r="A14" s="10"/>
      <c r="B14" s="6"/>
      <c r="C14" s="6"/>
      <c r="D14" s="6"/>
      <c r="E14" s="6"/>
      <c r="F14" s="6"/>
      <c r="G14" s="6"/>
      <c r="H14" s="6"/>
      <c r="I14" s="16"/>
      <c r="J14" s="6"/>
      <c r="K14" s="6"/>
      <c r="L14" s="6"/>
      <c r="M14" s="6"/>
      <c r="N14" s="16"/>
      <c r="O14" s="16" t="str">
        <f t="shared" si="0"/>
        <v/>
      </c>
      <c r="P14" s="6"/>
      <c r="Q14" s="16"/>
      <c r="R14" s="16" t="str">
        <f t="shared" si="1"/>
        <v/>
      </c>
      <c r="S14" s="6"/>
      <c r="T14" s="6"/>
      <c r="U14" s="11"/>
    </row>
    <row r="15" spans="1:21">
      <c r="A15" s="10"/>
      <c r="B15" s="6"/>
      <c r="C15" s="6"/>
      <c r="D15" s="6"/>
      <c r="E15" s="6"/>
      <c r="F15" s="6"/>
      <c r="G15" s="6"/>
      <c r="H15" s="6"/>
      <c r="I15" s="16"/>
      <c r="J15" s="6"/>
      <c r="K15" s="6"/>
      <c r="L15" s="6"/>
      <c r="M15" s="6"/>
      <c r="N15" s="16"/>
      <c r="O15" s="16" t="str">
        <f t="shared" si="0"/>
        <v/>
      </c>
      <c r="P15" s="6"/>
      <c r="Q15" s="16"/>
      <c r="R15" s="16" t="str">
        <f t="shared" si="1"/>
        <v/>
      </c>
      <c r="S15" s="6"/>
      <c r="T15" s="6"/>
      <c r="U15" s="11"/>
    </row>
    <row r="16" spans="1:21">
      <c r="A16" s="10"/>
      <c r="B16" s="6"/>
      <c r="C16" s="6"/>
      <c r="D16" s="6"/>
      <c r="E16" s="6"/>
      <c r="F16" s="6"/>
      <c r="G16" s="6"/>
      <c r="H16" s="6"/>
      <c r="I16" s="16"/>
      <c r="J16" s="6"/>
      <c r="K16" s="6"/>
      <c r="L16" s="6"/>
      <c r="M16" s="6"/>
      <c r="N16" s="16"/>
      <c r="O16" s="16" t="str">
        <f t="shared" si="0"/>
        <v/>
      </c>
      <c r="P16" s="6"/>
      <c r="Q16" s="16"/>
      <c r="R16" s="16" t="str">
        <f t="shared" si="1"/>
        <v/>
      </c>
      <c r="S16" s="6"/>
      <c r="T16" s="6"/>
      <c r="U16" s="11"/>
    </row>
    <row r="17" spans="1:21">
      <c r="A17" s="10"/>
      <c r="B17" s="6"/>
      <c r="C17" s="6"/>
      <c r="D17" s="6"/>
      <c r="E17" s="6"/>
      <c r="F17" s="6"/>
      <c r="G17" s="6"/>
      <c r="H17" s="6"/>
      <c r="I17" s="16"/>
      <c r="J17" s="6"/>
      <c r="K17" s="6"/>
      <c r="L17" s="6"/>
      <c r="M17" s="6"/>
      <c r="N17" s="16"/>
      <c r="O17" s="16" t="str">
        <f t="shared" si="0"/>
        <v/>
      </c>
      <c r="P17" s="6"/>
      <c r="Q17" s="16"/>
      <c r="R17" s="16" t="str">
        <f t="shared" si="1"/>
        <v/>
      </c>
      <c r="S17" s="6"/>
      <c r="T17" s="6"/>
      <c r="U17" s="11"/>
    </row>
    <row r="18" spans="1:21">
      <c r="A18" s="10"/>
      <c r="B18" s="6"/>
      <c r="C18" s="6"/>
      <c r="D18" s="6"/>
      <c r="E18" s="6"/>
      <c r="F18" s="6"/>
      <c r="G18" s="6"/>
      <c r="H18" s="6"/>
      <c r="I18" s="16"/>
      <c r="J18" s="6"/>
      <c r="K18" s="6"/>
      <c r="L18" s="6"/>
      <c r="M18" s="6"/>
      <c r="N18" s="16"/>
      <c r="O18" s="16" t="str">
        <f t="shared" si="0"/>
        <v/>
      </c>
      <c r="P18" s="6"/>
      <c r="Q18" s="16"/>
      <c r="R18" s="16" t="str">
        <f t="shared" si="1"/>
        <v/>
      </c>
      <c r="S18" s="6"/>
      <c r="T18" s="6"/>
      <c r="U18" s="11"/>
    </row>
    <row r="19" spans="1:21">
      <c r="A19" s="10"/>
      <c r="B19" s="6"/>
      <c r="C19" s="6"/>
      <c r="D19" s="6"/>
      <c r="E19" s="6"/>
      <c r="F19" s="6"/>
      <c r="G19" s="6"/>
      <c r="H19" s="6"/>
      <c r="I19" s="16"/>
      <c r="J19" s="6"/>
      <c r="K19" s="6"/>
      <c r="L19" s="6"/>
      <c r="M19" s="6"/>
      <c r="N19" s="16"/>
      <c r="O19" s="16" t="str">
        <f t="shared" si="0"/>
        <v/>
      </c>
      <c r="P19" s="6"/>
      <c r="Q19" s="16"/>
      <c r="R19" s="16" t="str">
        <f t="shared" si="1"/>
        <v/>
      </c>
      <c r="S19" s="6"/>
      <c r="T19" s="6"/>
      <c r="U19" s="11"/>
    </row>
    <row r="20" spans="1:21">
      <c r="A20" s="10"/>
      <c r="B20" s="6"/>
      <c r="C20" s="6"/>
      <c r="D20" s="6"/>
      <c r="E20" s="6"/>
      <c r="F20" s="6"/>
      <c r="G20" s="6"/>
      <c r="H20" s="6"/>
      <c r="I20" s="16"/>
      <c r="J20" s="6"/>
      <c r="K20" s="6"/>
      <c r="L20" s="6"/>
      <c r="M20" s="6"/>
      <c r="N20" s="16"/>
      <c r="O20" s="16" t="str">
        <f t="shared" si="0"/>
        <v/>
      </c>
      <c r="P20" s="6"/>
      <c r="Q20" s="16"/>
      <c r="R20" s="16" t="str">
        <f t="shared" si="1"/>
        <v/>
      </c>
      <c r="S20" s="6"/>
      <c r="T20" s="6"/>
      <c r="U20" s="11"/>
    </row>
    <row r="21" spans="1:21">
      <c r="A21" s="10"/>
      <c r="B21" s="6"/>
      <c r="C21" s="6"/>
      <c r="D21" s="6"/>
      <c r="E21" s="6"/>
      <c r="F21" s="6"/>
      <c r="G21" s="6"/>
      <c r="H21" s="6"/>
      <c r="I21" s="16"/>
      <c r="J21" s="6"/>
      <c r="K21" s="6"/>
      <c r="L21" s="6"/>
      <c r="M21" s="6"/>
      <c r="N21" s="16"/>
      <c r="O21" s="16" t="str">
        <f t="shared" si="0"/>
        <v/>
      </c>
      <c r="P21" s="6"/>
      <c r="Q21" s="16"/>
      <c r="R21" s="16" t="str">
        <f t="shared" si="1"/>
        <v/>
      </c>
      <c r="S21" s="6"/>
      <c r="T21" s="6"/>
      <c r="U21" s="11"/>
    </row>
    <row r="22" spans="1:21">
      <c r="A22" s="10"/>
      <c r="B22" s="6"/>
      <c r="C22" s="6"/>
      <c r="D22" s="6"/>
      <c r="E22" s="6"/>
      <c r="F22" s="6"/>
      <c r="G22" s="6"/>
      <c r="H22" s="6"/>
      <c r="I22" s="16"/>
      <c r="J22" s="6"/>
      <c r="K22" s="6"/>
      <c r="L22" s="6"/>
      <c r="M22" s="6"/>
      <c r="N22" s="16"/>
      <c r="O22" s="16" t="str">
        <f t="shared" si="0"/>
        <v/>
      </c>
      <c r="P22" s="6"/>
      <c r="Q22" s="16"/>
      <c r="R22" s="16" t="str">
        <f t="shared" si="1"/>
        <v/>
      </c>
      <c r="S22" s="6"/>
      <c r="T22" s="6"/>
      <c r="U22" s="11"/>
    </row>
    <row r="23" spans="1:21">
      <c r="A23" s="10"/>
      <c r="B23" s="6"/>
      <c r="C23" s="6"/>
      <c r="D23" s="6"/>
      <c r="E23" s="6"/>
      <c r="F23" s="6"/>
      <c r="G23" s="6"/>
      <c r="H23" s="6"/>
      <c r="I23" s="16"/>
      <c r="J23" s="6"/>
      <c r="K23" s="6"/>
      <c r="L23" s="6"/>
      <c r="M23" s="6"/>
      <c r="N23" s="16"/>
      <c r="O23" s="16" t="str">
        <f t="shared" si="0"/>
        <v/>
      </c>
      <c r="P23" s="6"/>
      <c r="Q23" s="16"/>
      <c r="R23" s="16" t="str">
        <f t="shared" si="1"/>
        <v/>
      </c>
      <c r="S23" s="6"/>
      <c r="T23" s="6"/>
      <c r="U23" s="11"/>
    </row>
    <row r="24" spans="1:21">
      <c r="A24" s="10"/>
      <c r="B24" s="6"/>
      <c r="C24" s="6"/>
      <c r="D24" s="6"/>
      <c r="E24" s="6"/>
      <c r="F24" s="6"/>
      <c r="G24" s="6"/>
      <c r="H24" s="6"/>
      <c r="I24" s="16"/>
      <c r="J24" s="6"/>
      <c r="K24" s="6"/>
      <c r="L24" s="6"/>
      <c r="M24" s="6"/>
      <c r="N24" s="16"/>
      <c r="O24" s="16" t="str">
        <f t="shared" si="0"/>
        <v/>
      </c>
      <c r="P24" s="6"/>
      <c r="Q24" s="16"/>
      <c r="R24" s="16" t="str">
        <f t="shared" si="1"/>
        <v/>
      </c>
      <c r="S24" s="6"/>
      <c r="T24" s="6"/>
      <c r="U24" s="11"/>
    </row>
    <row r="25" spans="1:21">
      <c r="A25" s="10"/>
      <c r="B25" s="6"/>
      <c r="C25" s="6"/>
      <c r="D25" s="6"/>
      <c r="E25" s="6"/>
      <c r="F25" s="6"/>
      <c r="G25" s="6"/>
      <c r="H25" s="6"/>
      <c r="I25" s="16"/>
      <c r="J25" s="6"/>
      <c r="K25" s="6"/>
      <c r="L25" s="6"/>
      <c r="M25" s="6"/>
      <c r="N25" s="16"/>
      <c r="O25" s="16" t="str">
        <f t="shared" si="0"/>
        <v/>
      </c>
      <c r="P25" s="6"/>
      <c r="Q25" s="16"/>
      <c r="R25" s="16" t="str">
        <f t="shared" si="1"/>
        <v/>
      </c>
      <c r="S25" s="6"/>
      <c r="T25" s="6"/>
      <c r="U25" s="11"/>
    </row>
    <row r="26" spans="1:21">
      <c r="A26" s="10"/>
      <c r="B26" s="6"/>
      <c r="C26" s="6"/>
      <c r="D26" s="6"/>
      <c r="E26" s="6"/>
      <c r="F26" s="6"/>
      <c r="G26" s="6"/>
      <c r="H26" s="6"/>
      <c r="I26" s="16"/>
      <c r="J26" s="6"/>
      <c r="K26" s="6"/>
      <c r="L26" s="6"/>
      <c r="M26" s="6"/>
      <c r="N26" s="16"/>
      <c r="O26" s="16" t="str">
        <f t="shared" si="0"/>
        <v/>
      </c>
      <c r="P26" s="6"/>
      <c r="Q26" s="16"/>
      <c r="R26" s="16" t="str">
        <f t="shared" si="1"/>
        <v/>
      </c>
      <c r="S26" s="6"/>
      <c r="T26" s="6"/>
      <c r="U26" s="11"/>
    </row>
    <row r="27" spans="1:21">
      <c r="A27" s="10"/>
      <c r="B27" s="6"/>
      <c r="C27" s="6"/>
      <c r="D27" s="6"/>
      <c r="E27" s="6"/>
      <c r="F27" s="6"/>
      <c r="G27" s="6"/>
      <c r="H27" s="6"/>
      <c r="I27" s="16"/>
      <c r="J27" s="6"/>
      <c r="K27" s="6"/>
      <c r="L27" s="6"/>
      <c r="M27" s="6"/>
      <c r="N27" s="16"/>
      <c r="O27" s="16" t="str">
        <f t="shared" si="0"/>
        <v/>
      </c>
      <c r="P27" s="6"/>
      <c r="Q27" s="16"/>
      <c r="R27" s="16" t="str">
        <f t="shared" si="1"/>
        <v/>
      </c>
      <c r="S27" s="6"/>
      <c r="T27" s="6"/>
      <c r="U27" s="11"/>
    </row>
    <row r="28" spans="1:21">
      <c r="A28" s="10"/>
      <c r="B28" s="6"/>
      <c r="C28" s="6"/>
      <c r="D28" s="6"/>
      <c r="E28" s="6"/>
      <c r="F28" s="6"/>
      <c r="G28" s="6"/>
      <c r="H28" s="6"/>
      <c r="I28" s="16"/>
      <c r="J28" s="6"/>
      <c r="K28" s="6"/>
      <c r="L28" s="6"/>
      <c r="M28" s="6"/>
      <c r="N28" s="16"/>
      <c r="O28" s="16" t="str">
        <f t="shared" si="0"/>
        <v/>
      </c>
      <c r="P28" s="6"/>
      <c r="Q28" s="16"/>
      <c r="R28" s="16" t="str">
        <f t="shared" si="1"/>
        <v/>
      </c>
      <c r="S28" s="6"/>
      <c r="T28" s="6"/>
      <c r="U28" s="11"/>
    </row>
    <row r="29" spans="1:21">
      <c r="A29" s="10"/>
      <c r="B29" s="6"/>
      <c r="C29" s="6"/>
      <c r="D29" s="6"/>
      <c r="E29" s="6"/>
      <c r="F29" s="6"/>
      <c r="G29" s="6"/>
      <c r="H29" s="6"/>
      <c r="I29" s="16"/>
      <c r="J29" s="6"/>
      <c r="K29" s="6"/>
      <c r="L29" s="6"/>
      <c r="M29" s="6"/>
      <c r="N29" s="16"/>
      <c r="O29" s="16" t="str">
        <f t="shared" si="0"/>
        <v/>
      </c>
      <c r="P29" s="6"/>
      <c r="Q29" s="16"/>
      <c r="R29" s="16" t="str">
        <f t="shared" si="1"/>
        <v/>
      </c>
      <c r="S29" s="6"/>
      <c r="T29" s="6"/>
      <c r="U29" s="11"/>
    </row>
    <row r="30" spans="1:21">
      <c r="A30" s="10"/>
      <c r="B30" s="6"/>
      <c r="C30" s="6"/>
      <c r="D30" s="6"/>
      <c r="E30" s="6"/>
      <c r="F30" s="6"/>
      <c r="G30" s="6"/>
      <c r="H30" s="6"/>
      <c r="I30" s="16"/>
      <c r="J30" s="6"/>
      <c r="K30" s="6"/>
      <c r="L30" s="6"/>
      <c r="M30" s="6"/>
      <c r="N30" s="16"/>
      <c r="O30" s="16" t="str">
        <f t="shared" si="0"/>
        <v/>
      </c>
      <c r="P30" s="6"/>
      <c r="Q30" s="16"/>
      <c r="R30" s="16" t="str">
        <f t="shared" si="1"/>
        <v/>
      </c>
      <c r="S30" s="6"/>
      <c r="T30" s="6"/>
      <c r="U30" s="11"/>
    </row>
    <row r="31" spans="1:21">
      <c r="A31" s="10"/>
      <c r="B31" s="6"/>
      <c r="C31" s="6"/>
      <c r="D31" s="6"/>
      <c r="E31" s="6"/>
      <c r="F31" s="6"/>
      <c r="G31" s="6"/>
      <c r="H31" s="6"/>
      <c r="I31" s="16"/>
      <c r="J31" s="6"/>
      <c r="K31" s="6"/>
      <c r="L31" s="6"/>
      <c r="M31" s="6"/>
      <c r="N31" s="16"/>
      <c r="O31" s="16" t="str">
        <f t="shared" si="0"/>
        <v/>
      </c>
      <c r="P31" s="6"/>
      <c r="Q31" s="16"/>
      <c r="R31" s="16" t="str">
        <f t="shared" si="1"/>
        <v/>
      </c>
      <c r="S31" s="6"/>
      <c r="T31" s="6"/>
      <c r="U31" s="11"/>
    </row>
    <row r="32" spans="1:21">
      <c r="A32" s="10"/>
      <c r="B32" s="6"/>
      <c r="C32" s="6"/>
      <c r="D32" s="6"/>
      <c r="E32" s="6"/>
      <c r="F32" s="6"/>
      <c r="G32" s="6"/>
      <c r="H32" s="6"/>
      <c r="I32" s="16"/>
      <c r="J32" s="6"/>
      <c r="K32" s="6"/>
      <c r="L32" s="6"/>
      <c r="M32" s="6"/>
      <c r="N32" s="16"/>
      <c r="O32" s="16" t="str">
        <f t="shared" si="0"/>
        <v/>
      </c>
      <c r="P32" s="6"/>
      <c r="Q32" s="16"/>
      <c r="R32" s="16" t="str">
        <f t="shared" si="1"/>
        <v/>
      </c>
      <c r="S32" s="6"/>
      <c r="T32" s="6"/>
      <c r="U32" s="11"/>
    </row>
    <row r="33" spans="1:21">
      <c r="A33" s="10"/>
      <c r="B33" s="6"/>
      <c r="C33" s="6"/>
      <c r="D33" s="6"/>
      <c r="E33" s="6"/>
      <c r="F33" s="6"/>
      <c r="G33" s="6"/>
      <c r="H33" s="6"/>
      <c r="I33" s="16"/>
      <c r="J33" s="6"/>
      <c r="K33" s="6"/>
      <c r="L33" s="6"/>
      <c r="M33" s="6"/>
      <c r="N33" s="16"/>
      <c r="O33" s="16" t="str">
        <f t="shared" si="0"/>
        <v/>
      </c>
      <c r="P33" s="6"/>
      <c r="Q33" s="16"/>
      <c r="R33" s="16" t="str">
        <f t="shared" si="1"/>
        <v/>
      </c>
      <c r="S33" s="6"/>
      <c r="T33" s="6"/>
      <c r="U33" s="11"/>
    </row>
    <row r="34" spans="1:21">
      <c r="A34" s="10"/>
      <c r="B34" s="6"/>
      <c r="C34" s="6"/>
      <c r="D34" s="6"/>
      <c r="E34" s="6"/>
      <c r="F34" s="6"/>
      <c r="G34" s="6"/>
      <c r="H34" s="6"/>
      <c r="I34" s="16"/>
      <c r="J34" s="6"/>
      <c r="K34" s="6"/>
      <c r="L34" s="6"/>
      <c r="M34" s="6"/>
      <c r="N34" s="16"/>
      <c r="O34" s="16" t="str">
        <f t="shared" si="0"/>
        <v/>
      </c>
      <c r="P34" s="6"/>
      <c r="Q34" s="16"/>
      <c r="R34" s="16" t="str">
        <f t="shared" si="1"/>
        <v/>
      </c>
      <c r="S34" s="6"/>
      <c r="T34" s="6"/>
      <c r="U34" s="11"/>
    </row>
    <row r="35" spans="1:21">
      <c r="A35" s="10"/>
      <c r="B35" s="6"/>
      <c r="C35" s="6"/>
      <c r="D35" s="6"/>
      <c r="E35" s="6"/>
      <c r="F35" s="6"/>
      <c r="G35" s="6"/>
      <c r="H35" s="6"/>
      <c r="I35" s="16"/>
      <c r="J35" s="6"/>
      <c r="K35" s="6"/>
      <c r="L35" s="6"/>
      <c r="M35" s="6"/>
      <c r="N35" s="16"/>
      <c r="O35" s="16" t="str">
        <f t="shared" ref="O35:O66" si="2">IF(OR(N35="",M35=""),"",DATE(YEAR(N35),MONTH(N35)+M35,DAY(N35)))</f>
        <v/>
      </c>
      <c r="P35" s="6"/>
      <c r="Q35" s="16"/>
      <c r="R35" s="16" t="str">
        <f t="shared" ref="R35:R66" si="3">IF(OR(Q35="",P35=""),"",DATE(YEAR(Q35),MONTH(Q35)+P35,DAY(Q35)))</f>
        <v/>
      </c>
      <c r="S35" s="6"/>
      <c r="T35" s="6"/>
      <c r="U35" s="11"/>
    </row>
    <row r="36" spans="1:21">
      <c r="A36" s="10"/>
      <c r="B36" s="6"/>
      <c r="C36" s="6"/>
      <c r="D36" s="6"/>
      <c r="E36" s="6"/>
      <c r="F36" s="6"/>
      <c r="G36" s="6"/>
      <c r="H36" s="6"/>
      <c r="I36" s="16"/>
      <c r="J36" s="6"/>
      <c r="K36" s="6"/>
      <c r="L36" s="6"/>
      <c r="M36" s="6"/>
      <c r="N36" s="16"/>
      <c r="O36" s="16" t="str">
        <f t="shared" si="2"/>
        <v/>
      </c>
      <c r="P36" s="6"/>
      <c r="Q36" s="16"/>
      <c r="R36" s="16" t="str">
        <f t="shared" si="3"/>
        <v/>
      </c>
      <c r="S36" s="6"/>
      <c r="T36" s="6"/>
      <c r="U36" s="11"/>
    </row>
    <row r="37" spans="1:21">
      <c r="A37" s="10"/>
      <c r="B37" s="6"/>
      <c r="C37" s="6"/>
      <c r="D37" s="6"/>
      <c r="E37" s="6"/>
      <c r="F37" s="6"/>
      <c r="G37" s="6"/>
      <c r="H37" s="6"/>
      <c r="I37" s="16"/>
      <c r="J37" s="6"/>
      <c r="K37" s="6"/>
      <c r="L37" s="6"/>
      <c r="M37" s="6"/>
      <c r="N37" s="16"/>
      <c r="O37" s="16" t="str">
        <f t="shared" si="2"/>
        <v/>
      </c>
      <c r="P37" s="6"/>
      <c r="Q37" s="16"/>
      <c r="R37" s="16" t="str">
        <f t="shared" si="3"/>
        <v/>
      </c>
      <c r="S37" s="6"/>
      <c r="T37" s="6"/>
      <c r="U37" s="11"/>
    </row>
    <row r="38" spans="1:21">
      <c r="A38" s="10"/>
      <c r="B38" s="6"/>
      <c r="C38" s="6"/>
      <c r="D38" s="6"/>
      <c r="E38" s="6"/>
      <c r="F38" s="6"/>
      <c r="G38" s="6"/>
      <c r="H38" s="6"/>
      <c r="I38" s="16"/>
      <c r="J38" s="6"/>
      <c r="K38" s="6"/>
      <c r="L38" s="6"/>
      <c r="M38" s="6"/>
      <c r="N38" s="16"/>
      <c r="O38" s="16" t="str">
        <f t="shared" si="2"/>
        <v/>
      </c>
      <c r="P38" s="6"/>
      <c r="Q38" s="16"/>
      <c r="R38" s="16" t="str">
        <f t="shared" si="3"/>
        <v/>
      </c>
      <c r="S38" s="6"/>
      <c r="T38" s="6"/>
      <c r="U38" s="11"/>
    </row>
    <row r="39" spans="1:21">
      <c r="A39" s="10"/>
      <c r="B39" s="6"/>
      <c r="C39" s="6"/>
      <c r="D39" s="6"/>
      <c r="E39" s="6"/>
      <c r="F39" s="6"/>
      <c r="G39" s="6"/>
      <c r="H39" s="6"/>
      <c r="I39" s="16"/>
      <c r="J39" s="6"/>
      <c r="K39" s="6"/>
      <c r="L39" s="6"/>
      <c r="M39" s="6"/>
      <c r="N39" s="16"/>
      <c r="O39" s="16" t="str">
        <f t="shared" si="2"/>
        <v/>
      </c>
      <c r="P39" s="6"/>
      <c r="Q39" s="16"/>
      <c r="R39" s="16" t="str">
        <f t="shared" si="3"/>
        <v/>
      </c>
      <c r="S39" s="6"/>
      <c r="T39" s="6"/>
      <c r="U39" s="11"/>
    </row>
    <row r="40" spans="1:21">
      <c r="A40" s="10"/>
      <c r="B40" s="6"/>
      <c r="C40" s="6"/>
      <c r="D40" s="6"/>
      <c r="E40" s="6"/>
      <c r="F40" s="6"/>
      <c r="G40" s="6"/>
      <c r="H40" s="6"/>
      <c r="I40" s="16"/>
      <c r="J40" s="6"/>
      <c r="K40" s="6"/>
      <c r="L40" s="6"/>
      <c r="M40" s="6"/>
      <c r="N40" s="16"/>
      <c r="O40" s="16" t="str">
        <f t="shared" si="2"/>
        <v/>
      </c>
      <c r="P40" s="6"/>
      <c r="Q40" s="16"/>
      <c r="R40" s="16" t="str">
        <f t="shared" si="3"/>
        <v/>
      </c>
      <c r="S40" s="6"/>
      <c r="T40" s="6"/>
      <c r="U40" s="11"/>
    </row>
    <row r="41" spans="1:21">
      <c r="A41" s="10"/>
      <c r="B41" s="6"/>
      <c r="C41" s="6"/>
      <c r="D41" s="6"/>
      <c r="E41" s="6"/>
      <c r="F41" s="6"/>
      <c r="G41" s="6"/>
      <c r="H41" s="6"/>
      <c r="I41" s="16"/>
      <c r="J41" s="6"/>
      <c r="K41" s="6"/>
      <c r="L41" s="6"/>
      <c r="M41" s="6"/>
      <c r="N41" s="16"/>
      <c r="O41" s="16" t="str">
        <f t="shared" si="2"/>
        <v/>
      </c>
      <c r="P41" s="6"/>
      <c r="Q41" s="16"/>
      <c r="R41" s="16" t="str">
        <f t="shared" si="3"/>
        <v/>
      </c>
      <c r="S41" s="6"/>
      <c r="T41" s="6"/>
      <c r="U41" s="11"/>
    </row>
    <row r="42" spans="1:21">
      <c r="A42" s="10"/>
      <c r="B42" s="6"/>
      <c r="C42" s="6"/>
      <c r="D42" s="6"/>
      <c r="E42" s="6"/>
      <c r="F42" s="6"/>
      <c r="G42" s="6"/>
      <c r="H42" s="6"/>
      <c r="I42" s="16"/>
      <c r="J42" s="6"/>
      <c r="K42" s="6"/>
      <c r="L42" s="6"/>
      <c r="M42" s="6"/>
      <c r="N42" s="16"/>
      <c r="O42" s="16" t="str">
        <f t="shared" si="2"/>
        <v/>
      </c>
      <c r="P42" s="6"/>
      <c r="Q42" s="16"/>
      <c r="R42" s="16" t="str">
        <f t="shared" si="3"/>
        <v/>
      </c>
      <c r="S42" s="6"/>
      <c r="T42" s="6"/>
      <c r="U42" s="11"/>
    </row>
    <row r="43" spans="1:21">
      <c r="A43" s="10"/>
      <c r="B43" s="6"/>
      <c r="C43" s="6"/>
      <c r="D43" s="6"/>
      <c r="E43" s="6"/>
      <c r="F43" s="6"/>
      <c r="G43" s="6"/>
      <c r="H43" s="6"/>
      <c r="I43" s="16"/>
      <c r="J43" s="6"/>
      <c r="K43" s="6"/>
      <c r="L43" s="6"/>
      <c r="M43" s="6"/>
      <c r="N43" s="16"/>
      <c r="O43" s="16" t="str">
        <f t="shared" si="2"/>
        <v/>
      </c>
      <c r="P43" s="6"/>
      <c r="Q43" s="16"/>
      <c r="R43" s="16" t="str">
        <f t="shared" si="3"/>
        <v/>
      </c>
      <c r="S43" s="6"/>
      <c r="T43" s="6"/>
      <c r="U43" s="11"/>
    </row>
    <row r="44" spans="1:21">
      <c r="A44" s="10"/>
      <c r="B44" s="6"/>
      <c r="C44" s="6"/>
      <c r="D44" s="6"/>
      <c r="E44" s="6"/>
      <c r="F44" s="6"/>
      <c r="G44" s="6"/>
      <c r="H44" s="6"/>
      <c r="I44" s="16"/>
      <c r="J44" s="6"/>
      <c r="K44" s="6"/>
      <c r="L44" s="6"/>
      <c r="M44" s="6"/>
      <c r="N44" s="16"/>
      <c r="O44" s="16" t="str">
        <f t="shared" si="2"/>
        <v/>
      </c>
      <c r="P44" s="6"/>
      <c r="Q44" s="16"/>
      <c r="R44" s="16" t="str">
        <f t="shared" si="3"/>
        <v/>
      </c>
      <c r="S44" s="6"/>
      <c r="T44" s="6"/>
      <c r="U44" s="11"/>
    </row>
    <row r="45" spans="1:21">
      <c r="A45" s="10"/>
      <c r="B45" s="6"/>
      <c r="C45" s="6"/>
      <c r="D45" s="6"/>
      <c r="E45" s="6"/>
      <c r="F45" s="6"/>
      <c r="G45" s="6"/>
      <c r="H45" s="6"/>
      <c r="I45" s="16"/>
      <c r="J45" s="6"/>
      <c r="K45" s="6"/>
      <c r="L45" s="6"/>
      <c r="M45" s="6"/>
      <c r="N45" s="16"/>
      <c r="O45" s="16" t="str">
        <f t="shared" si="2"/>
        <v/>
      </c>
      <c r="P45" s="6"/>
      <c r="Q45" s="16"/>
      <c r="R45" s="16" t="str">
        <f t="shared" si="3"/>
        <v/>
      </c>
      <c r="S45" s="6"/>
      <c r="T45" s="6"/>
      <c r="U45" s="11"/>
    </row>
    <row r="46" spans="1:21">
      <c r="A46" s="10"/>
      <c r="B46" s="6"/>
      <c r="C46" s="6"/>
      <c r="D46" s="6"/>
      <c r="E46" s="6"/>
      <c r="F46" s="6"/>
      <c r="G46" s="6"/>
      <c r="H46" s="6"/>
      <c r="I46" s="16"/>
      <c r="J46" s="6"/>
      <c r="K46" s="6"/>
      <c r="L46" s="6"/>
      <c r="M46" s="6"/>
      <c r="N46" s="16"/>
      <c r="O46" s="16" t="str">
        <f t="shared" si="2"/>
        <v/>
      </c>
      <c r="P46" s="6"/>
      <c r="Q46" s="16"/>
      <c r="R46" s="16" t="str">
        <f t="shared" si="3"/>
        <v/>
      </c>
      <c r="S46" s="6"/>
      <c r="T46" s="6"/>
      <c r="U46" s="11"/>
    </row>
    <row r="47" spans="1:21">
      <c r="A47" s="10"/>
      <c r="B47" s="6"/>
      <c r="C47" s="6"/>
      <c r="D47" s="6"/>
      <c r="E47" s="6"/>
      <c r="F47" s="6"/>
      <c r="G47" s="6"/>
      <c r="H47" s="6"/>
      <c r="I47" s="16"/>
      <c r="J47" s="6"/>
      <c r="K47" s="6"/>
      <c r="L47" s="6"/>
      <c r="M47" s="6"/>
      <c r="N47" s="16"/>
      <c r="O47" s="16" t="str">
        <f t="shared" si="2"/>
        <v/>
      </c>
      <c r="P47" s="6"/>
      <c r="Q47" s="16"/>
      <c r="R47" s="16" t="str">
        <f t="shared" si="3"/>
        <v/>
      </c>
      <c r="S47" s="6"/>
      <c r="T47" s="6"/>
      <c r="U47" s="11"/>
    </row>
    <row r="48" spans="1:21">
      <c r="A48" s="10"/>
      <c r="B48" s="6"/>
      <c r="C48" s="6"/>
      <c r="D48" s="6"/>
      <c r="E48" s="6"/>
      <c r="F48" s="6"/>
      <c r="G48" s="6"/>
      <c r="H48" s="6"/>
      <c r="I48" s="16"/>
      <c r="J48" s="6"/>
      <c r="K48" s="6"/>
      <c r="L48" s="6"/>
      <c r="M48" s="6"/>
      <c r="N48" s="16"/>
      <c r="O48" s="16" t="str">
        <f t="shared" si="2"/>
        <v/>
      </c>
      <c r="P48" s="6"/>
      <c r="Q48" s="16"/>
      <c r="R48" s="16" t="str">
        <f t="shared" si="3"/>
        <v/>
      </c>
      <c r="S48" s="6"/>
      <c r="T48" s="6"/>
      <c r="U48" s="11"/>
    </row>
    <row r="49" spans="1:21">
      <c r="A49" s="10"/>
      <c r="B49" s="6"/>
      <c r="C49" s="6"/>
      <c r="D49" s="6"/>
      <c r="E49" s="6"/>
      <c r="F49" s="6"/>
      <c r="G49" s="6"/>
      <c r="H49" s="6"/>
      <c r="I49" s="16"/>
      <c r="J49" s="6"/>
      <c r="K49" s="6"/>
      <c r="L49" s="6"/>
      <c r="M49" s="6"/>
      <c r="N49" s="16"/>
      <c r="O49" s="16" t="str">
        <f t="shared" si="2"/>
        <v/>
      </c>
      <c r="P49" s="6"/>
      <c r="Q49" s="16"/>
      <c r="R49" s="16" t="str">
        <f t="shared" si="3"/>
        <v/>
      </c>
      <c r="S49" s="6"/>
      <c r="T49" s="6"/>
      <c r="U49" s="11"/>
    </row>
    <row r="50" spans="1:21">
      <c r="A50" s="10"/>
      <c r="B50" s="6"/>
      <c r="C50" s="6"/>
      <c r="D50" s="6"/>
      <c r="E50" s="6"/>
      <c r="F50" s="6"/>
      <c r="G50" s="6"/>
      <c r="H50" s="6"/>
      <c r="I50" s="16"/>
      <c r="J50" s="6"/>
      <c r="K50" s="6"/>
      <c r="L50" s="6"/>
      <c r="M50" s="6"/>
      <c r="N50" s="16"/>
      <c r="O50" s="16" t="str">
        <f t="shared" si="2"/>
        <v/>
      </c>
      <c r="P50" s="6"/>
      <c r="Q50" s="16"/>
      <c r="R50" s="16" t="str">
        <f t="shared" si="3"/>
        <v/>
      </c>
      <c r="S50" s="6"/>
      <c r="T50" s="6"/>
      <c r="U50" s="11"/>
    </row>
    <row r="51" spans="1:21">
      <c r="A51" s="10"/>
      <c r="B51" s="6"/>
      <c r="C51" s="6"/>
      <c r="D51" s="6"/>
      <c r="E51" s="6"/>
      <c r="F51" s="6"/>
      <c r="G51" s="6"/>
      <c r="H51" s="6"/>
      <c r="I51" s="16"/>
      <c r="J51" s="6"/>
      <c r="K51" s="6"/>
      <c r="L51" s="6"/>
      <c r="M51" s="6"/>
      <c r="N51" s="16"/>
      <c r="O51" s="16" t="str">
        <f t="shared" si="2"/>
        <v/>
      </c>
      <c r="P51" s="6"/>
      <c r="Q51" s="16"/>
      <c r="R51" s="16" t="str">
        <f t="shared" si="3"/>
        <v/>
      </c>
      <c r="S51" s="6"/>
      <c r="T51" s="6"/>
      <c r="U51" s="11"/>
    </row>
    <row r="52" spans="1:21">
      <c r="A52" s="10"/>
      <c r="B52" s="6"/>
      <c r="C52" s="6"/>
      <c r="D52" s="6"/>
      <c r="E52" s="6"/>
      <c r="F52" s="6"/>
      <c r="G52" s="6"/>
      <c r="H52" s="6"/>
      <c r="I52" s="16"/>
      <c r="J52" s="6"/>
      <c r="K52" s="6"/>
      <c r="L52" s="6"/>
      <c r="M52" s="6"/>
      <c r="N52" s="16"/>
      <c r="O52" s="16" t="str">
        <f t="shared" si="2"/>
        <v/>
      </c>
      <c r="P52" s="6"/>
      <c r="Q52" s="16"/>
      <c r="R52" s="16" t="str">
        <f t="shared" si="3"/>
        <v/>
      </c>
      <c r="S52" s="6"/>
      <c r="T52" s="6"/>
      <c r="U52" s="11"/>
    </row>
    <row r="53" spans="1:21">
      <c r="A53" s="10"/>
      <c r="B53" s="6"/>
      <c r="C53" s="6"/>
      <c r="D53" s="6"/>
      <c r="E53" s="6"/>
      <c r="F53" s="6"/>
      <c r="G53" s="6"/>
      <c r="H53" s="6"/>
      <c r="I53" s="16"/>
      <c r="J53" s="6"/>
      <c r="K53" s="6"/>
      <c r="L53" s="6"/>
      <c r="M53" s="6"/>
      <c r="N53" s="16"/>
      <c r="O53" s="16" t="str">
        <f t="shared" si="2"/>
        <v/>
      </c>
      <c r="P53" s="6"/>
      <c r="Q53" s="16"/>
      <c r="R53" s="16" t="str">
        <f t="shared" si="3"/>
        <v/>
      </c>
      <c r="S53" s="6"/>
      <c r="T53" s="6"/>
      <c r="U53" s="11"/>
    </row>
    <row r="54" spans="1:21">
      <c r="A54" s="10"/>
      <c r="B54" s="6"/>
      <c r="C54" s="6"/>
      <c r="D54" s="6"/>
      <c r="E54" s="6"/>
      <c r="F54" s="6"/>
      <c r="G54" s="6"/>
      <c r="H54" s="6"/>
      <c r="I54" s="16"/>
      <c r="J54" s="6"/>
      <c r="K54" s="6"/>
      <c r="L54" s="6"/>
      <c r="M54" s="6"/>
      <c r="N54" s="16"/>
      <c r="O54" s="16" t="str">
        <f t="shared" si="2"/>
        <v/>
      </c>
      <c r="P54" s="6"/>
      <c r="Q54" s="16"/>
      <c r="R54" s="16" t="str">
        <f t="shared" si="3"/>
        <v/>
      </c>
      <c r="S54" s="6"/>
      <c r="T54" s="6"/>
      <c r="U54" s="11"/>
    </row>
    <row r="55" spans="1:21">
      <c r="A55" s="10"/>
      <c r="B55" s="6"/>
      <c r="C55" s="6"/>
      <c r="D55" s="6"/>
      <c r="E55" s="6"/>
      <c r="F55" s="6"/>
      <c r="G55" s="6"/>
      <c r="H55" s="6"/>
      <c r="I55" s="16"/>
      <c r="J55" s="6"/>
      <c r="K55" s="6"/>
      <c r="L55" s="6"/>
      <c r="M55" s="6"/>
      <c r="N55" s="16"/>
      <c r="O55" s="16" t="str">
        <f t="shared" si="2"/>
        <v/>
      </c>
      <c r="P55" s="6"/>
      <c r="Q55" s="16"/>
      <c r="R55" s="16" t="str">
        <f t="shared" si="3"/>
        <v/>
      </c>
      <c r="S55" s="6"/>
      <c r="T55" s="6"/>
      <c r="U55" s="11"/>
    </row>
    <row r="56" spans="1:21">
      <c r="A56" s="10"/>
      <c r="B56" s="6"/>
      <c r="C56" s="6"/>
      <c r="D56" s="6"/>
      <c r="E56" s="6"/>
      <c r="F56" s="6"/>
      <c r="G56" s="6"/>
      <c r="H56" s="6"/>
      <c r="I56" s="16"/>
      <c r="J56" s="6"/>
      <c r="K56" s="6"/>
      <c r="L56" s="6"/>
      <c r="M56" s="6"/>
      <c r="N56" s="16"/>
      <c r="O56" s="16" t="str">
        <f t="shared" si="2"/>
        <v/>
      </c>
      <c r="P56" s="6"/>
      <c r="Q56" s="16"/>
      <c r="R56" s="16" t="str">
        <f t="shared" si="3"/>
        <v/>
      </c>
      <c r="S56" s="6"/>
      <c r="T56" s="6"/>
      <c r="U56" s="11"/>
    </row>
    <row r="57" spans="1:21">
      <c r="A57" s="10"/>
      <c r="B57" s="6"/>
      <c r="C57" s="6"/>
      <c r="D57" s="6"/>
      <c r="E57" s="6"/>
      <c r="F57" s="6"/>
      <c r="G57" s="6"/>
      <c r="H57" s="6"/>
      <c r="I57" s="16"/>
      <c r="J57" s="6"/>
      <c r="K57" s="6"/>
      <c r="L57" s="6"/>
      <c r="M57" s="6"/>
      <c r="N57" s="16"/>
      <c r="O57" s="16" t="str">
        <f t="shared" si="2"/>
        <v/>
      </c>
      <c r="P57" s="6"/>
      <c r="Q57" s="16"/>
      <c r="R57" s="16" t="str">
        <f t="shared" si="3"/>
        <v/>
      </c>
      <c r="S57" s="6"/>
      <c r="T57" s="6"/>
      <c r="U57" s="11"/>
    </row>
    <row r="58" spans="1:21">
      <c r="A58" s="10"/>
      <c r="B58" s="6"/>
      <c r="C58" s="6"/>
      <c r="D58" s="6"/>
      <c r="E58" s="6"/>
      <c r="F58" s="6"/>
      <c r="G58" s="6"/>
      <c r="H58" s="6"/>
      <c r="I58" s="16"/>
      <c r="J58" s="6"/>
      <c r="K58" s="6"/>
      <c r="L58" s="6"/>
      <c r="M58" s="6"/>
      <c r="N58" s="16"/>
      <c r="O58" s="16" t="str">
        <f t="shared" si="2"/>
        <v/>
      </c>
      <c r="P58" s="6"/>
      <c r="Q58" s="16"/>
      <c r="R58" s="16" t="str">
        <f t="shared" si="3"/>
        <v/>
      </c>
      <c r="S58" s="6"/>
      <c r="T58" s="6"/>
      <c r="U58" s="11"/>
    </row>
    <row r="59" spans="1:21">
      <c r="A59" s="10"/>
      <c r="B59" s="6"/>
      <c r="C59" s="6"/>
      <c r="D59" s="6"/>
      <c r="E59" s="6"/>
      <c r="F59" s="6"/>
      <c r="G59" s="6"/>
      <c r="H59" s="6"/>
      <c r="I59" s="16"/>
      <c r="J59" s="6"/>
      <c r="K59" s="6"/>
      <c r="L59" s="6"/>
      <c r="M59" s="6"/>
      <c r="N59" s="16"/>
      <c r="O59" s="16" t="str">
        <f t="shared" si="2"/>
        <v/>
      </c>
      <c r="P59" s="6"/>
      <c r="Q59" s="16"/>
      <c r="R59" s="16" t="str">
        <f t="shared" si="3"/>
        <v/>
      </c>
      <c r="S59" s="6"/>
      <c r="T59" s="6"/>
      <c r="U59" s="11"/>
    </row>
    <row r="60" spans="1:21">
      <c r="A60" s="10"/>
      <c r="B60" s="6"/>
      <c r="C60" s="6"/>
      <c r="D60" s="6"/>
      <c r="E60" s="6"/>
      <c r="F60" s="6"/>
      <c r="G60" s="6"/>
      <c r="H60" s="6"/>
      <c r="I60" s="16"/>
      <c r="J60" s="6"/>
      <c r="K60" s="6"/>
      <c r="L60" s="6"/>
      <c r="M60" s="6"/>
      <c r="N60" s="16"/>
      <c r="O60" s="16" t="str">
        <f t="shared" si="2"/>
        <v/>
      </c>
      <c r="P60" s="6"/>
      <c r="Q60" s="16"/>
      <c r="R60" s="16" t="str">
        <f t="shared" si="3"/>
        <v/>
      </c>
      <c r="S60" s="6"/>
      <c r="T60" s="6"/>
      <c r="U60" s="11"/>
    </row>
    <row r="61" spans="1:21">
      <c r="A61" s="10"/>
      <c r="B61" s="6"/>
      <c r="C61" s="6"/>
      <c r="D61" s="6"/>
      <c r="E61" s="6"/>
      <c r="F61" s="6"/>
      <c r="G61" s="6"/>
      <c r="H61" s="6"/>
      <c r="I61" s="16"/>
      <c r="J61" s="6"/>
      <c r="K61" s="6"/>
      <c r="L61" s="6"/>
      <c r="M61" s="6"/>
      <c r="N61" s="16"/>
      <c r="O61" s="16" t="str">
        <f t="shared" si="2"/>
        <v/>
      </c>
      <c r="P61" s="6"/>
      <c r="Q61" s="16"/>
      <c r="R61" s="16" t="str">
        <f t="shared" si="3"/>
        <v/>
      </c>
      <c r="S61" s="6"/>
      <c r="T61" s="6"/>
      <c r="U61" s="11"/>
    </row>
    <row r="62" spans="1:21">
      <c r="A62" s="10"/>
      <c r="B62" s="6"/>
      <c r="C62" s="6"/>
      <c r="D62" s="6"/>
      <c r="E62" s="6"/>
      <c r="F62" s="6"/>
      <c r="G62" s="6"/>
      <c r="H62" s="6"/>
      <c r="I62" s="16"/>
      <c r="J62" s="6"/>
      <c r="K62" s="6"/>
      <c r="L62" s="6"/>
      <c r="M62" s="6"/>
      <c r="N62" s="16"/>
      <c r="O62" s="16" t="str">
        <f t="shared" si="2"/>
        <v/>
      </c>
      <c r="P62" s="6"/>
      <c r="Q62" s="16"/>
      <c r="R62" s="16" t="str">
        <f t="shared" si="3"/>
        <v/>
      </c>
      <c r="S62" s="6"/>
      <c r="T62" s="6"/>
      <c r="U62" s="11"/>
    </row>
    <row r="63" spans="1:21">
      <c r="A63" s="10"/>
      <c r="B63" s="6"/>
      <c r="C63" s="6"/>
      <c r="D63" s="6"/>
      <c r="E63" s="6"/>
      <c r="F63" s="6"/>
      <c r="G63" s="6"/>
      <c r="H63" s="6"/>
      <c r="I63" s="16"/>
      <c r="J63" s="6"/>
      <c r="K63" s="6"/>
      <c r="L63" s="6"/>
      <c r="M63" s="6"/>
      <c r="N63" s="16"/>
      <c r="O63" s="16" t="str">
        <f t="shared" si="2"/>
        <v/>
      </c>
      <c r="P63" s="6"/>
      <c r="Q63" s="16"/>
      <c r="R63" s="16" t="str">
        <f t="shared" si="3"/>
        <v/>
      </c>
      <c r="S63" s="6"/>
      <c r="T63" s="6"/>
      <c r="U63" s="11"/>
    </row>
    <row r="64" spans="1:21">
      <c r="A64" s="10"/>
      <c r="B64" s="6"/>
      <c r="C64" s="6"/>
      <c r="D64" s="6"/>
      <c r="E64" s="6"/>
      <c r="F64" s="6"/>
      <c r="G64" s="6"/>
      <c r="H64" s="6"/>
      <c r="I64" s="16"/>
      <c r="J64" s="6"/>
      <c r="K64" s="6"/>
      <c r="L64" s="6"/>
      <c r="M64" s="6"/>
      <c r="N64" s="16"/>
      <c r="O64" s="16" t="str">
        <f t="shared" si="2"/>
        <v/>
      </c>
      <c r="P64" s="6"/>
      <c r="Q64" s="16"/>
      <c r="R64" s="16" t="str">
        <f t="shared" si="3"/>
        <v/>
      </c>
      <c r="S64" s="6"/>
      <c r="T64" s="6"/>
      <c r="U64" s="11"/>
    </row>
    <row r="65" spans="1:21">
      <c r="A65" s="10"/>
      <c r="B65" s="6"/>
      <c r="C65" s="6"/>
      <c r="D65" s="6"/>
      <c r="E65" s="6"/>
      <c r="F65" s="6"/>
      <c r="G65" s="6"/>
      <c r="H65" s="6"/>
      <c r="I65" s="16"/>
      <c r="J65" s="6"/>
      <c r="K65" s="6"/>
      <c r="L65" s="6"/>
      <c r="M65" s="6"/>
      <c r="N65" s="16"/>
      <c r="O65" s="16" t="str">
        <f t="shared" si="2"/>
        <v/>
      </c>
      <c r="P65" s="6"/>
      <c r="Q65" s="16"/>
      <c r="R65" s="16" t="str">
        <f t="shared" si="3"/>
        <v/>
      </c>
      <c r="S65" s="6"/>
      <c r="T65" s="6"/>
      <c r="U65" s="11"/>
    </row>
    <row r="66" spans="1:21">
      <c r="A66" s="10"/>
      <c r="B66" s="6"/>
      <c r="C66" s="6"/>
      <c r="D66" s="6"/>
      <c r="E66" s="6"/>
      <c r="F66" s="6"/>
      <c r="G66" s="6"/>
      <c r="H66" s="6"/>
      <c r="I66" s="16"/>
      <c r="J66" s="6"/>
      <c r="K66" s="6"/>
      <c r="L66" s="6"/>
      <c r="M66" s="6"/>
      <c r="N66" s="16"/>
      <c r="O66" s="16" t="str">
        <f t="shared" si="2"/>
        <v/>
      </c>
      <c r="P66" s="6"/>
      <c r="Q66" s="16"/>
      <c r="R66" s="16" t="str">
        <f t="shared" si="3"/>
        <v/>
      </c>
      <c r="S66" s="6"/>
      <c r="T66" s="6"/>
      <c r="U66" s="11"/>
    </row>
    <row r="67" spans="1:21">
      <c r="A67" s="10"/>
      <c r="B67" s="6"/>
      <c r="C67" s="6"/>
      <c r="D67" s="6"/>
      <c r="E67" s="6"/>
      <c r="F67" s="6"/>
      <c r="G67" s="6"/>
      <c r="H67" s="6"/>
      <c r="I67" s="16"/>
      <c r="J67" s="6"/>
      <c r="K67" s="6"/>
      <c r="L67" s="6"/>
      <c r="M67" s="6"/>
      <c r="N67" s="16"/>
      <c r="O67" s="16" t="str">
        <f t="shared" ref="O67:O98" si="4">IF(OR(N67="",M67=""),"",DATE(YEAR(N67),MONTH(N67)+M67,DAY(N67)))</f>
        <v/>
      </c>
      <c r="P67" s="6"/>
      <c r="Q67" s="16"/>
      <c r="R67" s="16" t="str">
        <f t="shared" ref="R67:R98" si="5">IF(OR(Q67="",P67=""),"",DATE(YEAR(Q67),MONTH(Q67)+P67,DAY(Q67)))</f>
        <v/>
      </c>
      <c r="S67" s="6"/>
      <c r="T67" s="6"/>
      <c r="U67" s="11"/>
    </row>
    <row r="68" spans="1:21">
      <c r="A68" s="10"/>
      <c r="B68" s="6"/>
      <c r="C68" s="6"/>
      <c r="D68" s="6"/>
      <c r="E68" s="6"/>
      <c r="F68" s="6"/>
      <c r="G68" s="6"/>
      <c r="H68" s="6"/>
      <c r="I68" s="16"/>
      <c r="J68" s="6"/>
      <c r="K68" s="6"/>
      <c r="L68" s="6"/>
      <c r="M68" s="6"/>
      <c r="N68" s="16"/>
      <c r="O68" s="16" t="str">
        <f t="shared" si="4"/>
        <v/>
      </c>
      <c r="P68" s="6"/>
      <c r="Q68" s="16"/>
      <c r="R68" s="16" t="str">
        <f t="shared" si="5"/>
        <v/>
      </c>
      <c r="S68" s="6"/>
      <c r="T68" s="6"/>
      <c r="U68" s="11"/>
    </row>
    <row r="69" spans="1:21">
      <c r="A69" s="10"/>
      <c r="B69" s="6"/>
      <c r="C69" s="6"/>
      <c r="D69" s="6"/>
      <c r="E69" s="6"/>
      <c r="F69" s="6"/>
      <c r="G69" s="6"/>
      <c r="H69" s="6"/>
      <c r="I69" s="16"/>
      <c r="J69" s="6"/>
      <c r="K69" s="6"/>
      <c r="L69" s="6"/>
      <c r="M69" s="6"/>
      <c r="N69" s="16"/>
      <c r="O69" s="16" t="str">
        <f t="shared" si="4"/>
        <v/>
      </c>
      <c r="P69" s="6"/>
      <c r="Q69" s="16"/>
      <c r="R69" s="16" t="str">
        <f t="shared" si="5"/>
        <v/>
      </c>
      <c r="S69" s="6"/>
      <c r="T69" s="6"/>
      <c r="U69" s="11"/>
    </row>
    <row r="70" spans="1:21">
      <c r="A70" s="10"/>
      <c r="B70" s="6"/>
      <c r="C70" s="6"/>
      <c r="D70" s="6"/>
      <c r="E70" s="6"/>
      <c r="F70" s="6"/>
      <c r="G70" s="6"/>
      <c r="H70" s="6"/>
      <c r="I70" s="16"/>
      <c r="J70" s="6"/>
      <c r="K70" s="6"/>
      <c r="L70" s="6"/>
      <c r="M70" s="6"/>
      <c r="N70" s="16"/>
      <c r="O70" s="16" t="str">
        <f t="shared" si="4"/>
        <v/>
      </c>
      <c r="P70" s="6"/>
      <c r="Q70" s="16"/>
      <c r="R70" s="16" t="str">
        <f t="shared" si="5"/>
        <v/>
      </c>
      <c r="S70" s="6"/>
      <c r="T70" s="6"/>
      <c r="U70" s="11"/>
    </row>
    <row r="71" spans="1:21">
      <c r="A71" s="10"/>
      <c r="B71" s="6"/>
      <c r="C71" s="6"/>
      <c r="D71" s="6"/>
      <c r="E71" s="6"/>
      <c r="F71" s="6"/>
      <c r="G71" s="6"/>
      <c r="H71" s="6"/>
      <c r="I71" s="16"/>
      <c r="J71" s="6"/>
      <c r="K71" s="6"/>
      <c r="L71" s="6"/>
      <c r="M71" s="6"/>
      <c r="N71" s="16"/>
      <c r="O71" s="16" t="str">
        <f t="shared" si="4"/>
        <v/>
      </c>
      <c r="P71" s="6"/>
      <c r="Q71" s="16"/>
      <c r="R71" s="16" t="str">
        <f t="shared" si="5"/>
        <v/>
      </c>
      <c r="S71" s="6"/>
      <c r="T71" s="6"/>
      <c r="U71" s="11"/>
    </row>
    <row r="72" spans="1:21">
      <c r="A72" s="10"/>
      <c r="B72" s="6"/>
      <c r="C72" s="6"/>
      <c r="D72" s="6"/>
      <c r="E72" s="6"/>
      <c r="F72" s="6"/>
      <c r="G72" s="6"/>
      <c r="H72" s="6"/>
      <c r="I72" s="16"/>
      <c r="J72" s="6"/>
      <c r="K72" s="6"/>
      <c r="L72" s="6"/>
      <c r="M72" s="6"/>
      <c r="N72" s="16"/>
      <c r="O72" s="16" t="str">
        <f t="shared" si="4"/>
        <v/>
      </c>
      <c r="P72" s="6"/>
      <c r="Q72" s="16"/>
      <c r="R72" s="16" t="str">
        <f t="shared" si="5"/>
        <v/>
      </c>
      <c r="S72" s="6"/>
      <c r="T72" s="6"/>
      <c r="U72" s="11"/>
    </row>
    <row r="73" spans="1:21">
      <c r="A73" s="10"/>
      <c r="B73" s="6"/>
      <c r="C73" s="6"/>
      <c r="D73" s="6"/>
      <c r="E73" s="6"/>
      <c r="F73" s="6"/>
      <c r="G73" s="6"/>
      <c r="H73" s="6"/>
      <c r="I73" s="16"/>
      <c r="J73" s="6"/>
      <c r="K73" s="6"/>
      <c r="L73" s="6"/>
      <c r="M73" s="6"/>
      <c r="N73" s="16"/>
      <c r="O73" s="16" t="str">
        <f t="shared" si="4"/>
        <v/>
      </c>
      <c r="P73" s="6"/>
      <c r="Q73" s="16"/>
      <c r="R73" s="16" t="str">
        <f t="shared" si="5"/>
        <v/>
      </c>
      <c r="S73" s="6"/>
      <c r="T73" s="6"/>
      <c r="U73" s="11"/>
    </row>
    <row r="74" spans="1:21">
      <c r="A74" s="10"/>
      <c r="B74" s="6"/>
      <c r="C74" s="6"/>
      <c r="D74" s="6"/>
      <c r="E74" s="6"/>
      <c r="F74" s="6"/>
      <c r="G74" s="6"/>
      <c r="H74" s="6"/>
      <c r="I74" s="16"/>
      <c r="J74" s="6"/>
      <c r="K74" s="6"/>
      <c r="L74" s="6"/>
      <c r="M74" s="6"/>
      <c r="N74" s="16"/>
      <c r="O74" s="16" t="str">
        <f t="shared" si="4"/>
        <v/>
      </c>
      <c r="P74" s="6"/>
      <c r="Q74" s="16"/>
      <c r="R74" s="16" t="str">
        <f t="shared" si="5"/>
        <v/>
      </c>
      <c r="S74" s="6"/>
      <c r="T74" s="6"/>
      <c r="U74" s="11"/>
    </row>
    <row r="75" spans="1:21">
      <c r="A75" s="10"/>
      <c r="B75" s="6"/>
      <c r="C75" s="6"/>
      <c r="D75" s="6"/>
      <c r="E75" s="6"/>
      <c r="F75" s="6"/>
      <c r="G75" s="6"/>
      <c r="H75" s="6"/>
      <c r="I75" s="16"/>
      <c r="J75" s="6"/>
      <c r="K75" s="6"/>
      <c r="L75" s="6"/>
      <c r="M75" s="6"/>
      <c r="N75" s="16"/>
      <c r="O75" s="16" t="str">
        <f t="shared" si="4"/>
        <v/>
      </c>
      <c r="P75" s="6"/>
      <c r="Q75" s="16"/>
      <c r="R75" s="16" t="str">
        <f t="shared" si="5"/>
        <v/>
      </c>
      <c r="S75" s="6"/>
      <c r="T75" s="6"/>
      <c r="U75" s="11"/>
    </row>
    <row r="76" spans="1:21">
      <c r="A76" s="10"/>
      <c r="B76" s="6"/>
      <c r="C76" s="6"/>
      <c r="D76" s="6"/>
      <c r="E76" s="6"/>
      <c r="F76" s="6"/>
      <c r="G76" s="6"/>
      <c r="H76" s="6"/>
      <c r="I76" s="16"/>
      <c r="J76" s="6"/>
      <c r="K76" s="6"/>
      <c r="L76" s="6"/>
      <c r="M76" s="6"/>
      <c r="N76" s="16"/>
      <c r="O76" s="16" t="str">
        <f t="shared" si="4"/>
        <v/>
      </c>
      <c r="P76" s="6"/>
      <c r="Q76" s="16"/>
      <c r="R76" s="16" t="str">
        <f t="shared" si="5"/>
        <v/>
      </c>
      <c r="S76" s="6"/>
      <c r="T76" s="6"/>
      <c r="U76" s="11"/>
    </row>
    <row r="77" spans="1:21">
      <c r="A77" s="10"/>
      <c r="B77" s="6"/>
      <c r="C77" s="6"/>
      <c r="D77" s="6"/>
      <c r="E77" s="6"/>
      <c r="F77" s="6"/>
      <c r="G77" s="6"/>
      <c r="H77" s="6"/>
      <c r="I77" s="16"/>
      <c r="J77" s="6"/>
      <c r="K77" s="6"/>
      <c r="L77" s="6"/>
      <c r="M77" s="6"/>
      <c r="N77" s="16"/>
      <c r="O77" s="16" t="str">
        <f t="shared" si="4"/>
        <v/>
      </c>
      <c r="P77" s="6"/>
      <c r="Q77" s="16"/>
      <c r="R77" s="16" t="str">
        <f t="shared" si="5"/>
        <v/>
      </c>
      <c r="S77" s="6"/>
      <c r="T77" s="6"/>
      <c r="U77" s="11"/>
    </row>
    <row r="78" spans="1:21">
      <c r="A78" s="10"/>
      <c r="B78" s="6"/>
      <c r="C78" s="6"/>
      <c r="D78" s="6"/>
      <c r="E78" s="6"/>
      <c r="F78" s="6"/>
      <c r="G78" s="6"/>
      <c r="H78" s="6"/>
      <c r="I78" s="16"/>
      <c r="J78" s="6"/>
      <c r="K78" s="6"/>
      <c r="L78" s="6"/>
      <c r="M78" s="6"/>
      <c r="N78" s="16"/>
      <c r="O78" s="16" t="str">
        <f t="shared" si="4"/>
        <v/>
      </c>
      <c r="P78" s="6"/>
      <c r="Q78" s="16"/>
      <c r="R78" s="16" t="str">
        <f t="shared" si="5"/>
        <v/>
      </c>
      <c r="S78" s="6"/>
      <c r="T78" s="6"/>
      <c r="U78" s="11"/>
    </row>
    <row r="79" spans="1:21">
      <c r="A79" s="10"/>
      <c r="B79" s="6"/>
      <c r="C79" s="6"/>
      <c r="D79" s="6"/>
      <c r="E79" s="6"/>
      <c r="F79" s="6"/>
      <c r="G79" s="6"/>
      <c r="H79" s="6"/>
      <c r="I79" s="16"/>
      <c r="J79" s="6"/>
      <c r="K79" s="6"/>
      <c r="L79" s="6"/>
      <c r="M79" s="6"/>
      <c r="N79" s="16"/>
      <c r="O79" s="16" t="str">
        <f t="shared" si="4"/>
        <v/>
      </c>
      <c r="P79" s="6"/>
      <c r="Q79" s="16"/>
      <c r="R79" s="16" t="str">
        <f t="shared" si="5"/>
        <v/>
      </c>
      <c r="S79" s="6"/>
      <c r="T79" s="6"/>
      <c r="U79" s="11"/>
    </row>
    <row r="80" spans="1:21">
      <c r="A80" s="10"/>
      <c r="B80" s="6"/>
      <c r="C80" s="6"/>
      <c r="D80" s="6"/>
      <c r="E80" s="6"/>
      <c r="F80" s="6"/>
      <c r="G80" s="6"/>
      <c r="H80" s="6"/>
      <c r="I80" s="16"/>
      <c r="J80" s="6"/>
      <c r="K80" s="6"/>
      <c r="L80" s="6"/>
      <c r="M80" s="6"/>
      <c r="N80" s="16"/>
      <c r="O80" s="16" t="str">
        <f t="shared" si="4"/>
        <v/>
      </c>
      <c r="P80" s="6"/>
      <c r="Q80" s="16"/>
      <c r="R80" s="16" t="str">
        <f t="shared" si="5"/>
        <v/>
      </c>
      <c r="S80" s="6"/>
      <c r="T80" s="6"/>
      <c r="U80" s="11"/>
    </row>
    <row r="81" spans="1:21">
      <c r="A81" s="10"/>
      <c r="B81" s="6"/>
      <c r="C81" s="6"/>
      <c r="D81" s="6"/>
      <c r="E81" s="6"/>
      <c r="F81" s="6"/>
      <c r="G81" s="6"/>
      <c r="H81" s="6"/>
      <c r="I81" s="16"/>
      <c r="J81" s="6"/>
      <c r="K81" s="6"/>
      <c r="L81" s="6"/>
      <c r="M81" s="6"/>
      <c r="N81" s="16"/>
      <c r="O81" s="16" t="str">
        <f t="shared" si="4"/>
        <v/>
      </c>
      <c r="P81" s="6"/>
      <c r="Q81" s="16"/>
      <c r="R81" s="16" t="str">
        <f t="shared" si="5"/>
        <v/>
      </c>
      <c r="S81" s="6"/>
      <c r="T81" s="6"/>
      <c r="U81" s="11"/>
    </row>
    <row r="82" spans="1:21">
      <c r="A82" s="10"/>
      <c r="B82" s="6"/>
      <c r="C82" s="6"/>
      <c r="D82" s="6"/>
      <c r="E82" s="6"/>
      <c r="F82" s="6"/>
      <c r="G82" s="6"/>
      <c r="H82" s="6"/>
      <c r="I82" s="16"/>
      <c r="J82" s="6"/>
      <c r="K82" s="6"/>
      <c r="L82" s="6"/>
      <c r="M82" s="6"/>
      <c r="N82" s="16"/>
      <c r="O82" s="16" t="str">
        <f t="shared" si="4"/>
        <v/>
      </c>
      <c r="P82" s="6"/>
      <c r="Q82" s="16"/>
      <c r="R82" s="16" t="str">
        <f t="shared" si="5"/>
        <v/>
      </c>
      <c r="S82" s="6"/>
      <c r="T82" s="6"/>
      <c r="U82" s="11"/>
    </row>
    <row r="83" spans="1:21">
      <c r="A83" s="10"/>
      <c r="B83" s="6"/>
      <c r="C83" s="6"/>
      <c r="D83" s="6"/>
      <c r="E83" s="6"/>
      <c r="F83" s="6"/>
      <c r="G83" s="6"/>
      <c r="H83" s="6"/>
      <c r="I83" s="16"/>
      <c r="J83" s="6"/>
      <c r="K83" s="6"/>
      <c r="L83" s="6"/>
      <c r="M83" s="6"/>
      <c r="N83" s="16"/>
      <c r="O83" s="16" t="str">
        <f t="shared" si="4"/>
        <v/>
      </c>
      <c r="P83" s="6"/>
      <c r="Q83" s="16"/>
      <c r="R83" s="16" t="str">
        <f t="shared" si="5"/>
        <v/>
      </c>
      <c r="S83" s="6"/>
      <c r="T83" s="6"/>
      <c r="U83" s="11"/>
    </row>
    <row r="84" spans="1:21">
      <c r="A84" s="10"/>
      <c r="B84" s="6"/>
      <c r="C84" s="6"/>
      <c r="D84" s="6"/>
      <c r="E84" s="6"/>
      <c r="F84" s="6"/>
      <c r="G84" s="6"/>
      <c r="H84" s="6"/>
      <c r="I84" s="16"/>
      <c r="J84" s="6"/>
      <c r="K84" s="6"/>
      <c r="L84" s="6"/>
      <c r="M84" s="6"/>
      <c r="N84" s="16"/>
      <c r="O84" s="16" t="str">
        <f t="shared" si="4"/>
        <v/>
      </c>
      <c r="P84" s="6"/>
      <c r="Q84" s="16"/>
      <c r="R84" s="16" t="str">
        <f t="shared" si="5"/>
        <v/>
      </c>
      <c r="S84" s="6"/>
      <c r="T84" s="6"/>
      <c r="U84" s="11"/>
    </row>
    <row r="85" spans="1:21">
      <c r="A85" s="10"/>
      <c r="B85" s="6"/>
      <c r="C85" s="6"/>
      <c r="D85" s="6"/>
      <c r="E85" s="6"/>
      <c r="F85" s="6"/>
      <c r="G85" s="6"/>
      <c r="H85" s="6"/>
      <c r="I85" s="16"/>
      <c r="J85" s="6"/>
      <c r="K85" s="6"/>
      <c r="L85" s="6"/>
      <c r="M85" s="6"/>
      <c r="N85" s="16"/>
      <c r="O85" s="16" t="str">
        <f t="shared" si="4"/>
        <v/>
      </c>
      <c r="P85" s="6"/>
      <c r="Q85" s="16"/>
      <c r="R85" s="16" t="str">
        <f t="shared" si="5"/>
        <v/>
      </c>
      <c r="S85" s="6"/>
      <c r="T85" s="6"/>
      <c r="U85" s="11"/>
    </row>
    <row r="86" spans="1:21">
      <c r="A86" s="10"/>
      <c r="B86" s="6"/>
      <c r="C86" s="6"/>
      <c r="D86" s="6"/>
      <c r="E86" s="6"/>
      <c r="F86" s="6"/>
      <c r="G86" s="6"/>
      <c r="H86" s="6"/>
      <c r="I86" s="16"/>
      <c r="J86" s="6"/>
      <c r="K86" s="6"/>
      <c r="L86" s="6"/>
      <c r="M86" s="6"/>
      <c r="N86" s="16"/>
      <c r="O86" s="16" t="str">
        <f t="shared" si="4"/>
        <v/>
      </c>
      <c r="P86" s="6"/>
      <c r="Q86" s="16"/>
      <c r="R86" s="16" t="str">
        <f t="shared" si="5"/>
        <v/>
      </c>
      <c r="S86" s="6"/>
      <c r="T86" s="6"/>
      <c r="U86" s="11"/>
    </row>
    <row r="87" spans="1:21">
      <c r="A87" s="10"/>
      <c r="B87" s="6"/>
      <c r="C87" s="6"/>
      <c r="D87" s="6"/>
      <c r="E87" s="6"/>
      <c r="F87" s="6"/>
      <c r="G87" s="6"/>
      <c r="H87" s="6"/>
      <c r="I87" s="16"/>
      <c r="J87" s="6"/>
      <c r="K87" s="6"/>
      <c r="L87" s="6"/>
      <c r="M87" s="6"/>
      <c r="N87" s="16"/>
      <c r="O87" s="16" t="str">
        <f t="shared" si="4"/>
        <v/>
      </c>
      <c r="P87" s="6"/>
      <c r="Q87" s="16"/>
      <c r="R87" s="16" t="str">
        <f t="shared" si="5"/>
        <v/>
      </c>
      <c r="S87" s="6"/>
      <c r="T87" s="6"/>
      <c r="U87" s="11"/>
    </row>
    <row r="88" spans="1:21">
      <c r="A88" s="10"/>
      <c r="B88" s="6"/>
      <c r="C88" s="6"/>
      <c r="D88" s="6"/>
      <c r="E88" s="6"/>
      <c r="F88" s="6"/>
      <c r="G88" s="6"/>
      <c r="H88" s="6"/>
      <c r="I88" s="16"/>
      <c r="J88" s="6"/>
      <c r="K88" s="6"/>
      <c r="L88" s="6"/>
      <c r="M88" s="6"/>
      <c r="N88" s="16"/>
      <c r="O88" s="16" t="str">
        <f t="shared" si="4"/>
        <v/>
      </c>
      <c r="P88" s="6"/>
      <c r="Q88" s="16"/>
      <c r="R88" s="16" t="str">
        <f t="shared" si="5"/>
        <v/>
      </c>
      <c r="S88" s="6"/>
      <c r="T88" s="6"/>
      <c r="U88" s="11"/>
    </row>
    <row r="89" spans="1:21">
      <c r="A89" s="10"/>
      <c r="B89" s="6"/>
      <c r="C89" s="6"/>
      <c r="D89" s="6"/>
      <c r="E89" s="6"/>
      <c r="F89" s="6"/>
      <c r="G89" s="6"/>
      <c r="H89" s="6"/>
      <c r="I89" s="16"/>
      <c r="J89" s="6"/>
      <c r="K89" s="6"/>
      <c r="L89" s="6"/>
      <c r="M89" s="6"/>
      <c r="N89" s="16"/>
      <c r="O89" s="16" t="str">
        <f t="shared" si="4"/>
        <v/>
      </c>
      <c r="P89" s="6"/>
      <c r="Q89" s="16"/>
      <c r="R89" s="16" t="str">
        <f t="shared" si="5"/>
        <v/>
      </c>
      <c r="S89" s="6"/>
      <c r="T89" s="6"/>
      <c r="U89" s="11"/>
    </row>
    <row r="90" spans="1:21">
      <c r="A90" s="10"/>
      <c r="B90" s="6"/>
      <c r="C90" s="6"/>
      <c r="D90" s="6"/>
      <c r="E90" s="6"/>
      <c r="F90" s="6"/>
      <c r="G90" s="6"/>
      <c r="H90" s="6"/>
      <c r="I90" s="16"/>
      <c r="J90" s="6"/>
      <c r="K90" s="6"/>
      <c r="L90" s="6"/>
      <c r="M90" s="6"/>
      <c r="N90" s="16"/>
      <c r="O90" s="16" t="str">
        <f t="shared" si="4"/>
        <v/>
      </c>
      <c r="P90" s="6"/>
      <c r="Q90" s="16"/>
      <c r="R90" s="16" t="str">
        <f t="shared" si="5"/>
        <v/>
      </c>
      <c r="S90" s="6"/>
      <c r="T90" s="6"/>
      <c r="U90" s="11"/>
    </row>
    <row r="91" spans="1:21">
      <c r="A91" s="10"/>
      <c r="B91" s="6"/>
      <c r="C91" s="6"/>
      <c r="D91" s="6"/>
      <c r="E91" s="6"/>
      <c r="F91" s="6"/>
      <c r="G91" s="6"/>
      <c r="H91" s="6"/>
      <c r="I91" s="16"/>
      <c r="J91" s="6"/>
      <c r="K91" s="6"/>
      <c r="L91" s="6"/>
      <c r="M91" s="6"/>
      <c r="N91" s="16"/>
      <c r="O91" s="16" t="str">
        <f t="shared" si="4"/>
        <v/>
      </c>
      <c r="P91" s="6"/>
      <c r="Q91" s="16"/>
      <c r="R91" s="16" t="str">
        <f t="shared" si="5"/>
        <v/>
      </c>
      <c r="S91" s="6"/>
      <c r="T91" s="6"/>
      <c r="U91" s="11"/>
    </row>
    <row r="92" spans="1:21">
      <c r="A92" s="10"/>
      <c r="B92" s="6"/>
      <c r="C92" s="6"/>
      <c r="D92" s="6"/>
      <c r="E92" s="6"/>
      <c r="F92" s="6"/>
      <c r="G92" s="6"/>
      <c r="H92" s="6"/>
      <c r="I92" s="16"/>
      <c r="J92" s="6"/>
      <c r="K92" s="6"/>
      <c r="L92" s="6"/>
      <c r="M92" s="6"/>
      <c r="N92" s="16"/>
      <c r="O92" s="16" t="str">
        <f t="shared" si="4"/>
        <v/>
      </c>
      <c r="P92" s="6"/>
      <c r="Q92" s="16"/>
      <c r="R92" s="16" t="str">
        <f t="shared" si="5"/>
        <v/>
      </c>
      <c r="S92" s="6"/>
      <c r="T92" s="6"/>
      <c r="U92" s="11"/>
    </row>
    <row r="93" spans="1:21">
      <c r="A93" s="10"/>
      <c r="B93" s="6"/>
      <c r="C93" s="6"/>
      <c r="D93" s="6"/>
      <c r="E93" s="6"/>
      <c r="F93" s="6"/>
      <c r="G93" s="6"/>
      <c r="H93" s="6"/>
      <c r="I93" s="16"/>
      <c r="J93" s="6"/>
      <c r="K93" s="6"/>
      <c r="L93" s="6"/>
      <c r="M93" s="6"/>
      <c r="N93" s="16"/>
      <c r="O93" s="16" t="str">
        <f t="shared" si="4"/>
        <v/>
      </c>
      <c r="P93" s="6"/>
      <c r="Q93" s="16"/>
      <c r="R93" s="16" t="str">
        <f t="shared" si="5"/>
        <v/>
      </c>
      <c r="S93" s="6"/>
      <c r="T93" s="6"/>
      <c r="U93" s="11"/>
    </row>
    <row r="94" spans="1:21">
      <c r="A94" s="10"/>
      <c r="B94" s="6"/>
      <c r="C94" s="6"/>
      <c r="D94" s="6"/>
      <c r="E94" s="6"/>
      <c r="F94" s="6"/>
      <c r="G94" s="6"/>
      <c r="H94" s="6"/>
      <c r="I94" s="16"/>
      <c r="J94" s="6"/>
      <c r="K94" s="6"/>
      <c r="L94" s="6"/>
      <c r="M94" s="6"/>
      <c r="N94" s="16"/>
      <c r="O94" s="16" t="str">
        <f t="shared" si="4"/>
        <v/>
      </c>
      <c r="P94" s="6"/>
      <c r="Q94" s="16"/>
      <c r="R94" s="16" t="str">
        <f t="shared" si="5"/>
        <v/>
      </c>
      <c r="S94" s="6"/>
      <c r="T94" s="6"/>
      <c r="U94" s="11"/>
    </row>
    <row r="95" spans="1:21">
      <c r="A95" s="10"/>
      <c r="B95" s="6"/>
      <c r="C95" s="6"/>
      <c r="D95" s="6"/>
      <c r="E95" s="6"/>
      <c r="F95" s="6"/>
      <c r="G95" s="6"/>
      <c r="H95" s="6"/>
      <c r="I95" s="16"/>
      <c r="J95" s="6"/>
      <c r="K95" s="6"/>
      <c r="L95" s="6"/>
      <c r="M95" s="6"/>
      <c r="N95" s="16"/>
      <c r="O95" s="16" t="str">
        <f t="shared" si="4"/>
        <v/>
      </c>
      <c r="P95" s="6"/>
      <c r="Q95" s="16"/>
      <c r="R95" s="16" t="str">
        <f t="shared" si="5"/>
        <v/>
      </c>
      <c r="S95" s="6"/>
      <c r="T95" s="6"/>
      <c r="U95" s="11"/>
    </row>
    <row r="96" spans="1:21">
      <c r="A96" s="10"/>
      <c r="B96" s="6"/>
      <c r="C96" s="6"/>
      <c r="D96" s="6"/>
      <c r="E96" s="6"/>
      <c r="F96" s="6"/>
      <c r="G96" s="6"/>
      <c r="H96" s="6"/>
      <c r="I96" s="16"/>
      <c r="J96" s="6"/>
      <c r="K96" s="6"/>
      <c r="L96" s="6"/>
      <c r="M96" s="6"/>
      <c r="N96" s="16"/>
      <c r="O96" s="16" t="str">
        <f t="shared" si="4"/>
        <v/>
      </c>
      <c r="P96" s="6"/>
      <c r="Q96" s="16"/>
      <c r="R96" s="16" t="str">
        <f t="shared" si="5"/>
        <v/>
      </c>
      <c r="S96" s="6"/>
      <c r="T96" s="6"/>
      <c r="U96" s="11"/>
    </row>
    <row r="97" spans="1:21">
      <c r="A97" s="10"/>
      <c r="B97" s="6"/>
      <c r="C97" s="6"/>
      <c r="D97" s="6"/>
      <c r="E97" s="6"/>
      <c r="F97" s="6"/>
      <c r="G97" s="6"/>
      <c r="H97" s="6"/>
      <c r="I97" s="16"/>
      <c r="J97" s="6"/>
      <c r="K97" s="6"/>
      <c r="L97" s="6"/>
      <c r="M97" s="6"/>
      <c r="N97" s="16"/>
      <c r="O97" s="16" t="str">
        <f t="shared" si="4"/>
        <v/>
      </c>
      <c r="P97" s="6"/>
      <c r="Q97" s="16"/>
      <c r="R97" s="16" t="str">
        <f t="shared" si="5"/>
        <v/>
      </c>
      <c r="S97" s="6"/>
      <c r="T97" s="6"/>
      <c r="U97" s="11"/>
    </row>
    <row r="98" spans="1:21">
      <c r="A98" s="10"/>
      <c r="B98" s="6"/>
      <c r="C98" s="6"/>
      <c r="D98" s="6"/>
      <c r="E98" s="6"/>
      <c r="F98" s="6"/>
      <c r="G98" s="6"/>
      <c r="H98" s="6"/>
      <c r="I98" s="16"/>
      <c r="J98" s="6"/>
      <c r="K98" s="6"/>
      <c r="L98" s="6"/>
      <c r="M98" s="6"/>
      <c r="N98" s="16"/>
      <c r="O98" s="16" t="str">
        <f t="shared" si="4"/>
        <v/>
      </c>
      <c r="P98" s="6"/>
      <c r="Q98" s="16"/>
      <c r="R98" s="16" t="str">
        <f t="shared" si="5"/>
        <v/>
      </c>
      <c r="S98" s="6"/>
      <c r="T98" s="6"/>
      <c r="U98" s="11"/>
    </row>
    <row r="99" spans="1:21">
      <c r="A99" s="10"/>
      <c r="B99" s="6"/>
      <c r="C99" s="6"/>
      <c r="D99" s="6"/>
      <c r="E99" s="6"/>
      <c r="F99" s="6"/>
      <c r="G99" s="6"/>
      <c r="H99" s="6"/>
      <c r="I99" s="16"/>
      <c r="J99" s="6"/>
      <c r="K99" s="6"/>
      <c r="L99" s="6"/>
      <c r="M99" s="6"/>
      <c r="N99" s="16"/>
      <c r="O99" s="16" t="str">
        <f t="shared" ref="O99:O130" si="6">IF(OR(N99="",M99=""),"",DATE(YEAR(N99),MONTH(N99)+M99,DAY(N99)))</f>
        <v/>
      </c>
      <c r="P99" s="6"/>
      <c r="Q99" s="16"/>
      <c r="R99" s="16" t="str">
        <f t="shared" ref="R99:R130" si="7">IF(OR(Q99="",P99=""),"",DATE(YEAR(Q99),MONTH(Q99)+P99,DAY(Q99)))</f>
        <v/>
      </c>
      <c r="S99" s="6"/>
      <c r="T99" s="6"/>
      <c r="U99" s="11"/>
    </row>
    <row r="100" spans="1:21">
      <c r="A100" s="10"/>
      <c r="B100" s="6"/>
      <c r="C100" s="6"/>
      <c r="D100" s="6"/>
      <c r="E100" s="6"/>
      <c r="F100" s="6"/>
      <c r="G100" s="6"/>
      <c r="H100" s="6"/>
      <c r="I100" s="16"/>
      <c r="J100" s="6"/>
      <c r="K100" s="6"/>
      <c r="L100" s="6"/>
      <c r="M100" s="6"/>
      <c r="N100" s="16"/>
      <c r="O100" s="16" t="str">
        <f t="shared" si="6"/>
        <v/>
      </c>
      <c r="P100" s="6"/>
      <c r="Q100" s="16"/>
      <c r="R100" s="16" t="str">
        <f t="shared" si="7"/>
        <v/>
      </c>
      <c r="S100" s="6"/>
      <c r="T100" s="6"/>
      <c r="U100" s="11"/>
    </row>
    <row r="101" spans="1:21">
      <c r="A101" s="10"/>
      <c r="B101" s="6"/>
      <c r="C101" s="6"/>
      <c r="D101" s="6"/>
      <c r="E101" s="6"/>
      <c r="F101" s="6"/>
      <c r="G101" s="6"/>
      <c r="H101" s="6"/>
      <c r="I101" s="16"/>
      <c r="J101" s="6"/>
      <c r="K101" s="6"/>
      <c r="L101" s="6"/>
      <c r="M101" s="6"/>
      <c r="N101" s="16"/>
      <c r="O101" s="16" t="str">
        <f t="shared" si="6"/>
        <v/>
      </c>
      <c r="P101" s="6"/>
      <c r="Q101" s="16"/>
      <c r="R101" s="16" t="str">
        <f t="shared" si="7"/>
        <v/>
      </c>
      <c r="S101" s="6"/>
      <c r="T101" s="6"/>
      <c r="U101" s="11"/>
    </row>
    <row r="102" spans="1:21">
      <c r="A102" s="10"/>
      <c r="B102" s="6"/>
      <c r="C102" s="6"/>
      <c r="D102" s="6"/>
      <c r="E102" s="6"/>
      <c r="F102" s="6"/>
      <c r="G102" s="6"/>
      <c r="H102" s="6"/>
      <c r="I102" s="16"/>
      <c r="J102" s="6"/>
      <c r="K102" s="6"/>
      <c r="L102" s="6"/>
      <c r="M102" s="6"/>
      <c r="N102" s="16"/>
      <c r="O102" s="16" t="str">
        <f t="shared" si="6"/>
        <v/>
      </c>
      <c r="P102" s="6"/>
      <c r="Q102" s="16"/>
      <c r="R102" s="16" t="str">
        <f t="shared" si="7"/>
        <v/>
      </c>
      <c r="S102" s="6"/>
      <c r="T102" s="6"/>
      <c r="U102" s="11"/>
    </row>
    <row r="103" spans="1:21">
      <c r="A103" s="10"/>
      <c r="B103" s="6"/>
      <c r="C103" s="6"/>
      <c r="D103" s="6"/>
      <c r="E103" s="6"/>
      <c r="F103" s="6"/>
      <c r="G103" s="6"/>
      <c r="H103" s="6"/>
      <c r="I103" s="16"/>
      <c r="J103" s="6"/>
      <c r="K103" s="6"/>
      <c r="L103" s="6"/>
      <c r="M103" s="6"/>
      <c r="N103" s="16"/>
      <c r="O103" s="16" t="str">
        <f t="shared" si="6"/>
        <v/>
      </c>
      <c r="P103" s="6"/>
      <c r="Q103" s="16"/>
      <c r="R103" s="16" t="str">
        <f t="shared" si="7"/>
        <v/>
      </c>
      <c r="S103" s="6"/>
      <c r="T103" s="6"/>
      <c r="U103" s="11"/>
    </row>
    <row r="104" spans="1:21">
      <c r="A104" s="10"/>
      <c r="B104" s="6"/>
      <c r="C104" s="6"/>
      <c r="D104" s="6"/>
      <c r="E104" s="6"/>
      <c r="F104" s="6"/>
      <c r="G104" s="6"/>
      <c r="H104" s="6"/>
      <c r="I104" s="16"/>
      <c r="J104" s="6"/>
      <c r="K104" s="6"/>
      <c r="L104" s="6"/>
      <c r="M104" s="6"/>
      <c r="N104" s="16"/>
      <c r="O104" s="16" t="str">
        <f t="shared" si="6"/>
        <v/>
      </c>
      <c r="P104" s="6"/>
      <c r="Q104" s="16"/>
      <c r="R104" s="16" t="str">
        <f t="shared" si="7"/>
        <v/>
      </c>
      <c r="S104" s="6"/>
      <c r="T104" s="6"/>
      <c r="U104" s="11"/>
    </row>
    <row r="105" spans="1:21">
      <c r="A105" s="10"/>
      <c r="B105" s="6"/>
      <c r="C105" s="6"/>
      <c r="D105" s="6"/>
      <c r="E105" s="6"/>
      <c r="F105" s="6"/>
      <c r="G105" s="6"/>
      <c r="H105" s="6"/>
      <c r="I105" s="16"/>
      <c r="J105" s="6"/>
      <c r="K105" s="6"/>
      <c r="L105" s="6"/>
      <c r="M105" s="6"/>
      <c r="N105" s="16"/>
      <c r="O105" s="16" t="str">
        <f t="shared" si="6"/>
        <v/>
      </c>
      <c r="P105" s="6"/>
      <c r="Q105" s="16"/>
      <c r="R105" s="16" t="str">
        <f t="shared" si="7"/>
        <v/>
      </c>
      <c r="S105" s="6"/>
      <c r="T105" s="6"/>
      <c r="U105" s="11"/>
    </row>
    <row r="106" spans="1:21">
      <c r="A106" s="10"/>
      <c r="B106" s="6"/>
      <c r="C106" s="6"/>
      <c r="D106" s="6"/>
      <c r="E106" s="6"/>
      <c r="F106" s="6"/>
      <c r="G106" s="6"/>
      <c r="H106" s="6"/>
      <c r="I106" s="16"/>
      <c r="J106" s="6"/>
      <c r="K106" s="6"/>
      <c r="L106" s="6"/>
      <c r="M106" s="6"/>
      <c r="N106" s="16"/>
      <c r="O106" s="16" t="str">
        <f t="shared" si="6"/>
        <v/>
      </c>
      <c r="P106" s="6"/>
      <c r="Q106" s="16"/>
      <c r="R106" s="16" t="str">
        <f t="shared" si="7"/>
        <v/>
      </c>
      <c r="S106" s="6"/>
      <c r="T106" s="6"/>
      <c r="U106" s="11"/>
    </row>
    <row r="107" spans="1:21">
      <c r="A107" s="10"/>
      <c r="B107" s="6"/>
      <c r="C107" s="6"/>
      <c r="D107" s="6"/>
      <c r="E107" s="6"/>
      <c r="F107" s="6"/>
      <c r="G107" s="6"/>
      <c r="H107" s="6"/>
      <c r="I107" s="16"/>
      <c r="J107" s="6"/>
      <c r="K107" s="6"/>
      <c r="L107" s="6"/>
      <c r="M107" s="6"/>
      <c r="N107" s="16"/>
      <c r="O107" s="16" t="str">
        <f t="shared" si="6"/>
        <v/>
      </c>
      <c r="P107" s="6"/>
      <c r="Q107" s="16"/>
      <c r="R107" s="16" t="str">
        <f t="shared" si="7"/>
        <v/>
      </c>
      <c r="S107" s="6"/>
      <c r="T107" s="6"/>
      <c r="U107" s="11"/>
    </row>
    <row r="108" spans="1:21">
      <c r="A108" s="10"/>
      <c r="B108" s="6"/>
      <c r="C108" s="6"/>
      <c r="D108" s="6"/>
      <c r="E108" s="6"/>
      <c r="F108" s="6"/>
      <c r="G108" s="6"/>
      <c r="H108" s="6"/>
      <c r="I108" s="16"/>
      <c r="J108" s="6"/>
      <c r="K108" s="6"/>
      <c r="L108" s="6"/>
      <c r="M108" s="6"/>
      <c r="N108" s="16"/>
      <c r="O108" s="16" t="str">
        <f t="shared" si="6"/>
        <v/>
      </c>
      <c r="P108" s="6"/>
      <c r="Q108" s="16"/>
      <c r="R108" s="16" t="str">
        <f t="shared" si="7"/>
        <v/>
      </c>
      <c r="S108" s="6"/>
      <c r="T108" s="6"/>
      <c r="U108" s="11"/>
    </row>
    <row r="109" spans="1:21">
      <c r="A109" s="10"/>
      <c r="B109" s="6"/>
      <c r="C109" s="6"/>
      <c r="D109" s="6"/>
      <c r="E109" s="6"/>
      <c r="F109" s="6"/>
      <c r="G109" s="6"/>
      <c r="H109" s="6"/>
      <c r="I109" s="16"/>
      <c r="J109" s="6"/>
      <c r="K109" s="6"/>
      <c r="L109" s="6"/>
      <c r="M109" s="6"/>
      <c r="N109" s="16"/>
      <c r="O109" s="16" t="str">
        <f t="shared" si="6"/>
        <v/>
      </c>
      <c r="P109" s="6"/>
      <c r="Q109" s="16"/>
      <c r="R109" s="16" t="str">
        <f t="shared" si="7"/>
        <v/>
      </c>
      <c r="S109" s="6"/>
      <c r="T109" s="6"/>
      <c r="U109" s="11"/>
    </row>
    <row r="110" spans="1:21">
      <c r="A110" s="10"/>
      <c r="B110" s="6"/>
      <c r="C110" s="6"/>
      <c r="D110" s="6"/>
      <c r="E110" s="6"/>
      <c r="F110" s="6"/>
      <c r="G110" s="6"/>
      <c r="H110" s="6"/>
      <c r="I110" s="16"/>
      <c r="J110" s="6"/>
      <c r="K110" s="6"/>
      <c r="L110" s="6"/>
      <c r="M110" s="6"/>
      <c r="N110" s="16"/>
      <c r="O110" s="16" t="str">
        <f t="shared" si="6"/>
        <v/>
      </c>
      <c r="P110" s="6"/>
      <c r="Q110" s="16"/>
      <c r="R110" s="16" t="str">
        <f t="shared" si="7"/>
        <v/>
      </c>
      <c r="S110" s="6"/>
      <c r="T110" s="6"/>
      <c r="U110" s="11"/>
    </row>
    <row r="111" spans="1:21">
      <c r="A111" s="10"/>
      <c r="B111" s="6"/>
      <c r="C111" s="6"/>
      <c r="D111" s="6"/>
      <c r="E111" s="6"/>
      <c r="F111" s="6"/>
      <c r="G111" s="6"/>
      <c r="H111" s="6"/>
      <c r="I111" s="16"/>
      <c r="J111" s="6"/>
      <c r="K111" s="6"/>
      <c r="L111" s="6"/>
      <c r="M111" s="6"/>
      <c r="N111" s="16"/>
      <c r="O111" s="16" t="str">
        <f t="shared" si="6"/>
        <v/>
      </c>
      <c r="P111" s="6"/>
      <c r="Q111" s="16"/>
      <c r="R111" s="16" t="str">
        <f t="shared" si="7"/>
        <v/>
      </c>
      <c r="S111" s="6"/>
      <c r="T111" s="6"/>
      <c r="U111" s="11"/>
    </row>
    <row r="112" spans="1:21">
      <c r="A112" s="10"/>
      <c r="B112" s="6"/>
      <c r="C112" s="6"/>
      <c r="D112" s="6"/>
      <c r="E112" s="6"/>
      <c r="F112" s="6"/>
      <c r="G112" s="6"/>
      <c r="H112" s="6"/>
      <c r="I112" s="16"/>
      <c r="J112" s="6"/>
      <c r="K112" s="6"/>
      <c r="L112" s="6"/>
      <c r="M112" s="6"/>
      <c r="N112" s="16"/>
      <c r="O112" s="16" t="str">
        <f t="shared" si="6"/>
        <v/>
      </c>
      <c r="P112" s="6"/>
      <c r="Q112" s="16"/>
      <c r="R112" s="16" t="str">
        <f t="shared" si="7"/>
        <v/>
      </c>
      <c r="S112" s="6"/>
      <c r="T112" s="6"/>
      <c r="U112" s="11"/>
    </row>
    <row r="113" spans="1:21">
      <c r="A113" s="10"/>
      <c r="B113" s="6"/>
      <c r="C113" s="6"/>
      <c r="D113" s="6"/>
      <c r="E113" s="6"/>
      <c r="F113" s="6"/>
      <c r="G113" s="6"/>
      <c r="H113" s="6"/>
      <c r="I113" s="16"/>
      <c r="J113" s="6"/>
      <c r="K113" s="6"/>
      <c r="L113" s="6"/>
      <c r="M113" s="6"/>
      <c r="N113" s="16"/>
      <c r="O113" s="16" t="str">
        <f t="shared" si="6"/>
        <v/>
      </c>
      <c r="P113" s="6"/>
      <c r="Q113" s="16"/>
      <c r="R113" s="16" t="str">
        <f t="shared" si="7"/>
        <v/>
      </c>
      <c r="S113" s="6"/>
      <c r="T113" s="6"/>
      <c r="U113" s="11"/>
    </row>
    <row r="114" spans="1:21">
      <c r="A114" s="10"/>
      <c r="B114" s="6"/>
      <c r="C114" s="6"/>
      <c r="D114" s="6"/>
      <c r="E114" s="6"/>
      <c r="F114" s="6"/>
      <c r="G114" s="6"/>
      <c r="H114" s="6"/>
      <c r="I114" s="16"/>
      <c r="J114" s="6"/>
      <c r="K114" s="6"/>
      <c r="L114" s="6"/>
      <c r="M114" s="6"/>
      <c r="N114" s="16"/>
      <c r="O114" s="16" t="str">
        <f t="shared" si="6"/>
        <v/>
      </c>
      <c r="P114" s="6"/>
      <c r="Q114" s="16"/>
      <c r="R114" s="16" t="str">
        <f t="shared" si="7"/>
        <v/>
      </c>
      <c r="S114" s="6"/>
      <c r="T114" s="6"/>
      <c r="U114" s="11"/>
    </row>
    <row r="115" spans="1:21">
      <c r="A115" s="10"/>
      <c r="B115" s="6"/>
      <c r="C115" s="6"/>
      <c r="D115" s="6"/>
      <c r="E115" s="6"/>
      <c r="F115" s="6"/>
      <c r="G115" s="6"/>
      <c r="H115" s="6"/>
      <c r="I115" s="16"/>
      <c r="J115" s="6"/>
      <c r="K115" s="6"/>
      <c r="L115" s="6"/>
      <c r="M115" s="6"/>
      <c r="N115" s="16"/>
      <c r="O115" s="16" t="str">
        <f t="shared" si="6"/>
        <v/>
      </c>
      <c r="P115" s="6"/>
      <c r="Q115" s="16"/>
      <c r="R115" s="16" t="str">
        <f t="shared" si="7"/>
        <v/>
      </c>
      <c r="S115" s="6"/>
      <c r="T115" s="6"/>
      <c r="U115" s="11"/>
    </row>
    <row r="116" spans="1:21">
      <c r="A116" s="10"/>
      <c r="B116" s="6"/>
      <c r="C116" s="6"/>
      <c r="D116" s="6"/>
      <c r="E116" s="6"/>
      <c r="F116" s="6"/>
      <c r="G116" s="6"/>
      <c r="H116" s="6"/>
      <c r="I116" s="16"/>
      <c r="J116" s="6"/>
      <c r="K116" s="6"/>
      <c r="L116" s="6"/>
      <c r="M116" s="6"/>
      <c r="N116" s="16"/>
      <c r="O116" s="16" t="str">
        <f t="shared" si="6"/>
        <v/>
      </c>
      <c r="P116" s="6"/>
      <c r="Q116" s="16"/>
      <c r="R116" s="16" t="str">
        <f t="shared" si="7"/>
        <v/>
      </c>
      <c r="S116" s="6"/>
      <c r="T116" s="6"/>
      <c r="U116" s="11"/>
    </row>
    <row r="117" spans="1:21">
      <c r="A117" s="10"/>
      <c r="B117" s="6"/>
      <c r="C117" s="6"/>
      <c r="D117" s="6"/>
      <c r="E117" s="6"/>
      <c r="F117" s="6"/>
      <c r="G117" s="6"/>
      <c r="H117" s="6"/>
      <c r="I117" s="16"/>
      <c r="J117" s="6"/>
      <c r="K117" s="6"/>
      <c r="L117" s="6"/>
      <c r="M117" s="6"/>
      <c r="N117" s="16"/>
      <c r="O117" s="16" t="str">
        <f t="shared" si="6"/>
        <v/>
      </c>
      <c r="P117" s="6"/>
      <c r="Q117" s="16"/>
      <c r="R117" s="16" t="str">
        <f t="shared" si="7"/>
        <v/>
      </c>
      <c r="S117" s="6"/>
      <c r="T117" s="6"/>
      <c r="U117" s="11"/>
    </row>
    <row r="118" spans="1:21">
      <c r="A118" s="10"/>
      <c r="B118" s="6"/>
      <c r="C118" s="6"/>
      <c r="D118" s="6"/>
      <c r="E118" s="6"/>
      <c r="F118" s="6"/>
      <c r="G118" s="6"/>
      <c r="H118" s="6"/>
      <c r="I118" s="16"/>
      <c r="J118" s="6"/>
      <c r="K118" s="6"/>
      <c r="L118" s="6"/>
      <c r="M118" s="6"/>
      <c r="N118" s="16"/>
      <c r="O118" s="16" t="str">
        <f t="shared" si="6"/>
        <v/>
      </c>
      <c r="P118" s="6"/>
      <c r="Q118" s="16"/>
      <c r="R118" s="16" t="str">
        <f t="shared" si="7"/>
        <v/>
      </c>
      <c r="S118" s="6"/>
      <c r="T118" s="6"/>
      <c r="U118" s="11"/>
    </row>
    <row r="119" spans="1:21">
      <c r="A119" s="10"/>
      <c r="B119" s="6"/>
      <c r="C119" s="6"/>
      <c r="D119" s="6"/>
      <c r="E119" s="6"/>
      <c r="F119" s="6"/>
      <c r="G119" s="6"/>
      <c r="H119" s="6"/>
      <c r="I119" s="16"/>
      <c r="J119" s="6"/>
      <c r="K119" s="6"/>
      <c r="L119" s="6"/>
      <c r="M119" s="6"/>
      <c r="N119" s="16"/>
      <c r="O119" s="16" t="str">
        <f t="shared" si="6"/>
        <v/>
      </c>
      <c r="P119" s="6"/>
      <c r="Q119" s="16"/>
      <c r="R119" s="16" t="str">
        <f t="shared" si="7"/>
        <v/>
      </c>
      <c r="S119" s="6"/>
      <c r="T119" s="6"/>
      <c r="U119" s="11"/>
    </row>
    <row r="120" spans="1:21">
      <c r="A120" s="10"/>
      <c r="B120" s="6"/>
      <c r="C120" s="6"/>
      <c r="D120" s="6"/>
      <c r="E120" s="6"/>
      <c r="F120" s="6"/>
      <c r="G120" s="6"/>
      <c r="H120" s="6"/>
      <c r="I120" s="16"/>
      <c r="J120" s="6"/>
      <c r="K120" s="6"/>
      <c r="L120" s="6"/>
      <c r="M120" s="6"/>
      <c r="N120" s="16"/>
      <c r="O120" s="16" t="str">
        <f t="shared" si="6"/>
        <v/>
      </c>
      <c r="P120" s="6"/>
      <c r="Q120" s="16"/>
      <c r="R120" s="16" t="str">
        <f t="shared" si="7"/>
        <v/>
      </c>
      <c r="S120" s="6"/>
      <c r="T120" s="6"/>
      <c r="U120" s="11"/>
    </row>
    <row r="121" spans="1:21">
      <c r="A121" s="10"/>
      <c r="B121" s="6"/>
      <c r="C121" s="6"/>
      <c r="D121" s="6"/>
      <c r="E121" s="6"/>
      <c r="F121" s="6"/>
      <c r="G121" s="6"/>
      <c r="H121" s="6"/>
      <c r="I121" s="16"/>
      <c r="J121" s="6"/>
      <c r="K121" s="6"/>
      <c r="L121" s="6"/>
      <c r="M121" s="6"/>
      <c r="N121" s="16"/>
      <c r="O121" s="16" t="str">
        <f t="shared" si="6"/>
        <v/>
      </c>
      <c r="P121" s="6"/>
      <c r="Q121" s="16"/>
      <c r="R121" s="16" t="str">
        <f t="shared" si="7"/>
        <v/>
      </c>
      <c r="S121" s="6"/>
      <c r="T121" s="6"/>
      <c r="U121" s="11"/>
    </row>
    <row r="122" spans="1:21">
      <c r="A122" s="10"/>
      <c r="B122" s="6"/>
      <c r="C122" s="6"/>
      <c r="D122" s="6"/>
      <c r="E122" s="6"/>
      <c r="F122" s="6"/>
      <c r="G122" s="6"/>
      <c r="H122" s="6"/>
      <c r="I122" s="16"/>
      <c r="J122" s="6"/>
      <c r="K122" s="6"/>
      <c r="L122" s="6"/>
      <c r="M122" s="6"/>
      <c r="N122" s="16"/>
      <c r="O122" s="16" t="str">
        <f t="shared" si="6"/>
        <v/>
      </c>
      <c r="P122" s="6"/>
      <c r="Q122" s="16"/>
      <c r="R122" s="16" t="str">
        <f t="shared" si="7"/>
        <v/>
      </c>
      <c r="S122" s="6"/>
      <c r="T122" s="6"/>
      <c r="U122" s="11"/>
    </row>
    <row r="123" spans="1:21">
      <c r="A123" s="10"/>
      <c r="B123" s="6"/>
      <c r="C123" s="6"/>
      <c r="D123" s="6"/>
      <c r="E123" s="6"/>
      <c r="F123" s="6"/>
      <c r="G123" s="6"/>
      <c r="H123" s="6"/>
      <c r="I123" s="16"/>
      <c r="J123" s="6"/>
      <c r="K123" s="6"/>
      <c r="L123" s="6"/>
      <c r="M123" s="6"/>
      <c r="N123" s="16"/>
      <c r="O123" s="16" t="str">
        <f t="shared" si="6"/>
        <v/>
      </c>
      <c r="P123" s="6"/>
      <c r="Q123" s="16"/>
      <c r="R123" s="16" t="str">
        <f t="shared" si="7"/>
        <v/>
      </c>
      <c r="S123" s="6"/>
      <c r="T123" s="6"/>
      <c r="U123" s="11"/>
    </row>
    <row r="124" spans="1:21">
      <c r="A124" s="10"/>
      <c r="B124" s="6"/>
      <c r="C124" s="6"/>
      <c r="D124" s="6"/>
      <c r="E124" s="6"/>
      <c r="F124" s="6"/>
      <c r="G124" s="6"/>
      <c r="H124" s="6"/>
      <c r="I124" s="16"/>
      <c r="J124" s="6"/>
      <c r="K124" s="6"/>
      <c r="L124" s="6"/>
      <c r="M124" s="6"/>
      <c r="N124" s="16"/>
      <c r="O124" s="16" t="str">
        <f t="shared" si="6"/>
        <v/>
      </c>
      <c r="P124" s="6"/>
      <c r="Q124" s="16"/>
      <c r="R124" s="16" t="str">
        <f t="shared" si="7"/>
        <v/>
      </c>
      <c r="S124" s="6"/>
      <c r="T124" s="6"/>
      <c r="U124" s="11"/>
    </row>
    <row r="125" spans="1:21">
      <c r="A125" s="10"/>
      <c r="B125" s="6"/>
      <c r="C125" s="6"/>
      <c r="D125" s="6"/>
      <c r="E125" s="6"/>
      <c r="F125" s="6"/>
      <c r="G125" s="6"/>
      <c r="H125" s="6"/>
      <c r="I125" s="16"/>
      <c r="J125" s="6"/>
      <c r="K125" s="6"/>
      <c r="L125" s="6"/>
      <c r="M125" s="6"/>
      <c r="N125" s="16"/>
      <c r="O125" s="16" t="str">
        <f t="shared" si="6"/>
        <v/>
      </c>
      <c r="P125" s="6"/>
      <c r="Q125" s="16"/>
      <c r="R125" s="16" t="str">
        <f t="shared" si="7"/>
        <v/>
      </c>
      <c r="S125" s="6"/>
      <c r="T125" s="6"/>
      <c r="U125" s="11"/>
    </row>
    <row r="126" spans="1:21">
      <c r="A126" s="10"/>
      <c r="B126" s="6"/>
      <c r="C126" s="6"/>
      <c r="D126" s="6"/>
      <c r="E126" s="6"/>
      <c r="F126" s="6"/>
      <c r="G126" s="6"/>
      <c r="H126" s="6"/>
      <c r="I126" s="16"/>
      <c r="J126" s="6"/>
      <c r="K126" s="6"/>
      <c r="L126" s="6"/>
      <c r="M126" s="6"/>
      <c r="N126" s="16"/>
      <c r="O126" s="16" t="str">
        <f t="shared" si="6"/>
        <v/>
      </c>
      <c r="P126" s="6"/>
      <c r="Q126" s="16"/>
      <c r="R126" s="16" t="str">
        <f t="shared" si="7"/>
        <v/>
      </c>
      <c r="S126" s="6"/>
      <c r="T126" s="6"/>
      <c r="U126" s="11"/>
    </row>
    <row r="127" spans="1:21">
      <c r="A127" s="10"/>
      <c r="B127" s="6"/>
      <c r="C127" s="6"/>
      <c r="D127" s="6"/>
      <c r="E127" s="6"/>
      <c r="F127" s="6"/>
      <c r="G127" s="6"/>
      <c r="H127" s="6"/>
      <c r="I127" s="16"/>
      <c r="J127" s="6"/>
      <c r="K127" s="6"/>
      <c r="L127" s="6"/>
      <c r="M127" s="6"/>
      <c r="N127" s="16"/>
      <c r="O127" s="16" t="str">
        <f t="shared" si="6"/>
        <v/>
      </c>
      <c r="P127" s="6"/>
      <c r="Q127" s="16"/>
      <c r="R127" s="16" t="str">
        <f t="shared" si="7"/>
        <v/>
      </c>
      <c r="S127" s="6"/>
      <c r="T127" s="6"/>
      <c r="U127" s="11"/>
    </row>
    <row r="128" spans="1:21">
      <c r="A128" s="10"/>
      <c r="B128" s="6"/>
      <c r="C128" s="6"/>
      <c r="D128" s="6"/>
      <c r="E128" s="6"/>
      <c r="F128" s="6"/>
      <c r="G128" s="6"/>
      <c r="H128" s="6"/>
      <c r="I128" s="16"/>
      <c r="J128" s="6"/>
      <c r="K128" s="6"/>
      <c r="L128" s="6"/>
      <c r="M128" s="6"/>
      <c r="N128" s="16"/>
      <c r="O128" s="16" t="str">
        <f t="shared" si="6"/>
        <v/>
      </c>
      <c r="P128" s="6"/>
      <c r="Q128" s="16"/>
      <c r="R128" s="16" t="str">
        <f t="shared" si="7"/>
        <v/>
      </c>
      <c r="S128" s="6"/>
      <c r="T128" s="6"/>
      <c r="U128" s="11"/>
    </row>
    <row r="129" spans="1:21">
      <c r="A129" s="10"/>
      <c r="B129" s="6"/>
      <c r="C129" s="6"/>
      <c r="D129" s="6"/>
      <c r="E129" s="6"/>
      <c r="F129" s="6"/>
      <c r="G129" s="6"/>
      <c r="H129" s="6"/>
      <c r="I129" s="16"/>
      <c r="J129" s="6"/>
      <c r="K129" s="6"/>
      <c r="L129" s="6"/>
      <c r="M129" s="6"/>
      <c r="N129" s="16"/>
      <c r="O129" s="16" t="str">
        <f t="shared" si="6"/>
        <v/>
      </c>
      <c r="P129" s="6"/>
      <c r="Q129" s="16"/>
      <c r="R129" s="16" t="str">
        <f t="shared" si="7"/>
        <v/>
      </c>
      <c r="S129" s="6"/>
      <c r="T129" s="6"/>
      <c r="U129" s="11"/>
    </row>
    <row r="130" spans="1:21">
      <c r="A130" s="10"/>
      <c r="B130" s="6"/>
      <c r="C130" s="6"/>
      <c r="D130" s="6"/>
      <c r="E130" s="6"/>
      <c r="F130" s="6"/>
      <c r="G130" s="6"/>
      <c r="H130" s="6"/>
      <c r="I130" s="16"/>
      <c r="J130" s="6"/>
      <c r="K130" s="6"/>
      <c r="L130" s="6"/>
      <c r="M130" s="6"/>
      <c r="N130" s="16"/>
      <c r="O130" s="16" t="str">
        <f t="shared" si="6"/>
        <v/>
      </c>
      <c r="P130" s="6"/>
      <c r="Q130" s="16"/>
      <c r="R130" s="16" t="str">
        <f t="shared" si="7"/>
        <v/>
      </c>
      <c r="S130" s="6"/>
      <c r="T130" s="6"/>
      <c r="U130" s="11"/>
    </row>
    <row r="131" spans="1:21">
      <c r="A131" s="10"/>
      <c r="B131" s="6"/>
      <c r="C131" s="6"/>
      <c r="D131" s="6"/>
      <c r="E131" s="6"/>
      <c r="F131" s="6"/>
      <c r="G131" s="6"/>
      <c r="H131" s="6"/>
      <c r="I131" s="16"/>
      <c r="J131" s="6"/>
      <c r="K131" s="6"/>
      <c r="L131" s="6"/>
      <c r="M131" s="6"/>
      <c r="N131" s="16"/>
      <c r="O131" s="16" t="str">
        <f t="shared" ref="O131:O162" si="8">IF(OR(N131="",M131=""),"",DATE(YEAR(N131),MONTH(N131)+M131,DAY(N131)))</f>
        <v/>
      </c>
      <c r="P131" s="6"/>
      <c r="Q131" s="16"/>
      <c r="R131" s="16" t="str">
        <f t="shared" ref="R131:R162" si="9">IF(OR(Q131="",P131=""),"",DATE(YEAR(Q131),MONTH(Q131)+P131,DAY(Q131)))</f>
        <v/>
      </c>
      <c r="S131" s="6"/>
      <c r="T131" s="6"/>
      <c r="U131" s="11"/>
    </row>
    <row r="132" spans="1:21">
      <c r="A132" s="10"/>
      <c r="B132" s="6"/>
      <c r="C132" s="6"/>
      <c r="D132" s="6"/>
      <c r="E132" s="6"/>
      <c r="F132" s="6"/>
      <c r="G132" s="6"/>
      <c r="H132" s="6"/>
      <c r="I132" s="16"/>
      <c r="J132" s="6"/>
      <c r="K132" s="6"/>
      <c r="L132" s="6"/>
      <c r="M132" s="6"/>
      <c r="N132" s="16"/>
      <c r="O132" s="16" t="str">
        <f t="shared" si="8"/>
        <v/>
      </c>
      <c r="P132" s="6"/>
      <c r="Q132" s="16"/>
      <c r="R132" s="16" t="str">
        <f t="shared" si="9"/>
        <v/>
      </c>
      <c r="S132" s="6"/>
      <c r="T132" s="6"/>
      <c r="U132" s="11"/>
    </row>
    <row r="133" spans="1:21">
      <c r="A133" s="10"/>
      <c r="B133" s="6"/>
      <c r="C133" s="6"/>
      <c r="D133" s="6"/>
      <c r="E133" s="6"/>
      <c r="F133" s="6"/>
      <c r="G133" s="6"/>
      <c r="H133" s="6"/>
      <c r="I133" s="16"/>
      <c r="J133" s="6"/>
      <c r="K133" s="6"/>
      <c r="L133" s="6"/>
      <c r="M133" s="6"/>
      <c r="N133" s="16"/>
      <c r="O133" s="16" t="str">
        <f t="shared" si="8"/>
        <v/>
      </c>
      <c r="P133" s="6"/>
      <c r="Q133" s="16"/>
      <c r="R133" s="16" t="str">
        <f t="shared" si="9"/>
        <v/>
      </c>
      <c r="S133" s="6"/>
      <c r="T133" s="6"/>
      <c r="U133" s="11"/>
    </row>
    <row r="134" spans="1:21">
      <c r="A134" s="10"/>
      <c r="B134" s="6"/>
      <c r="C134" s="6"/>
      <c r="D134" s="6"/>
      <c r="E134" s="6"/>
      <c r="F134" s="6"/>
      <c r="G134" s="6"/>
      <c r="H134" s="6"/>
      <c r="I134" s="16"/>
      <c r="J134" s="6"/>
      <c r="K134" s="6"/>
      <c r="L134" s="6"/>
      <c r="M134" s="6"/>
      <c r="N134" s="16"/>
      <c r="O134" s="16" t="str">
        <f t="shared" si="8"/>
        <v/>
      </c>
      <c r="P134" s="6"/>
      <c r="Q134" s="16"/>
      <c r="R134" s="16" t="str">
        <f t="shared" si="9"/>
        <v/>
      </c>
      <c r="S134" s="6"/>
      <c r="T134" s="6"/>
      <c r="U134" s="11"/>
    </row>
    <row r="135" spans="1:21">
      <c r="A135" s="10"/>
      <c r="B135" s="6"/>
      <c r="C135" s="6"/>
      <c r="D135" s="6"/>
      <c r="E135" s="6"/>
      <c r="F135" s="6"/>
      <c r="G135" s="6"/>
      <c r="H135" s="6"/>
      <c r="I135" s="16"/>
      <c r="J135" s="6"/>
      <c r="K135" s="6"/>
      <c r="L135" s="6"/>
      <c r="M135" s="6"/>
      <c r="N135" s="16"/>
      <c r="O135" s="16" t="str">
        <f t="shared" si="8"/>
        <v/>
      </c>
      <c r="P135" s="6"/>
      <c r="Q135" s="16"/>
      <c r="R135" s="16" t="str">
        <f t="shared" si="9"/>
        <v/>
      </c>
      <c r="S135" s="6"/>
      <c r="T135" s="6"/>
      <c r="U135" s="11"/>
    </row>
    <row r="136" spans="1:21">
      <c r="A136" s="10"/>
      <c r="B136" s="6"/>
      <c r="C136" s="6"/>
      <c r="D136" s="6"/>
      <c r="E136" s="6"/>
      <c r="F136" s="6"/>
      <c r="G136" s="6"/>
      <c r="H136" s="6"/>
      <c r="I136" s="16"/>
      <c r="J136" s="6"/>
      <c r="K136" s="6"/>
      <c r="L136" s="6"/>
      <c r="M136" s="6"/>
      <c r="N136" s="16"/>
      <c r="O136" s="16" t="str">
        <f t="shared" si="8"/>
        <v/>
      </c>
      <c r="P136" s="6"/>
      <c r="Q136" s="16"/>
      <c r="R136" s="16" t="str">
        <f t="shared" si="9"/>
        <v/>
      </c>
      <c r="S136" s="6"/>
      <c r="T136" s="6"/>
      <c r="U136" s="11"/>
    </row>
    <row r="137" spans="1:21">
      <c r="A137" s="10"/>
      <c r="B137" s="6"/>
      <c r="C137" s="6"/>
      <c r="D137" s="6"/>
      <c r="E137" s="6"/>
      <c r="F137" s="6"/>
      <c r="G137" s="6"/>
      <c r="H137" s="6"/>
      <c r="I137" s="16"/>
      <c r="J137" s="6"/>
      <c r="K137" s="6"/>
      <c r="L137" s="6"/>
      <c r="M137" s="6"/>
      <c r="N137" s="16"/>
      <c r="O137" s="16" t="str">
        <f t="shared" si="8"/>
        <v/>
      </c>
      <c r="P137" s="6"/>
      <c r="Q137" s="16"/>
      <c r="R137" s="16" t="str">
        <f t="shared" si="9"/>
        <v/>
      </c>
      <c r="S137" s="6"/>
      <c r="T137" s="6"/>
      <c r="U137" s="11"/>
    </row>
    <row r="138" spans="1:21">
      <c r="A138" s="10"/>
      <c r="B138" s="6"/>
      <c r="C138" s="6"/>
      <c r="D138" s="6"/>
      <c r="E138" s="6"/>
      <c r="F138" s="6"/>
      <c r="G138" s="6"/>
      <c r="H138" s="6"/>
      <c r="I138" s="16"/>
      <c r="J138" s="6"/>
      <c r="K138" s="6"/>
      <c r="L138" s="6"/>
      <c r="M138" s="6"/>
      <c r="N138" s="16"/>
      <c r="O138" s="16" t="str">
        <f t="shared" si="8"/>
        <v/>
      </c>
      <c r="P138" s="6"/>
      <c r="Q138" s="16"/>
      <c r="R138" s="16" t="str">
        <f t="shared" si="9"/>
        <v/>
      </c>
      <c r="S138" s="6"/>
      <c r="T138" s="6"/>
      <c r="U138" s="11"/>
    </row>
    <row r="139" spans="1:21">
      <c r="A139" s="10"/>
      <c r="B139" s="6"/>
      <c r="C139" s="6"/>
      <c r="D139" s="6"/>
      <c r="E139" s="6"/>
      <c r="F139" s="6"/>
      <c r="G139" s="6"/>
      <c r="H139" s="6"/>
      <c r="I139" s="16"/>
      <c r="J139" s="6"/>
      <c r="K139" s="6"/>
      <c r="L139" s="6"/>
      <c r="M139" s="6"/>
      <c r="N139" s="16"/>
      <c r="O139" s="16" t="str">
        <f t="shared" si="8"/>
        <v/>
      </c>
      <c r="P139" s="6"/>
      <c r="Q139" s="16"/>
      <c r="R139" s="16" t="str">
        <f t="shared" si="9"/>
        <v/>
      </c>
      <c r="S139" s="6"/>
      <c r="T139" s="6"/>
      <c r="U139" s="11"/>
    </row>
    <row r="140" spans="1:21">
      <c r="A140" s="10"/>
      <c r="B140" s="6"/>
      <c r="C140" s="6"/>
      <c r="D140" s="6"/>
      <c r="E140" s="6"/>
      <c r="F140" s="6"/>
      <c r="G140" s="6"/>
      <c r="H140" s="6"/>
      <c r="I140" s="16"/>
      <c r="J140" s="6"/>
      <c r="K140" s="6"/>
      <c r="L140" s="6"/>
      <c r="M140" s="6"/>
      <c r="N140" s="16"/>
      <c r="O140" s="16" t="str">
        <f t="shared" si="8"/>
        <v/>
      </c>
      <c r="P140" s="6"/>
      <c r="Q140" s="16"/>
      <c r="R140" s="16" t="str">
        <f t="shared" si="9"/>
        <v/>
      </c>
      <c r="S140" s="6"/>
      <c r="T140" s="6"/>
      <c r="U140" s="11"/>
    </row>
    <row r="141" spans="1:21">
      <c r="A141" s="10"/>
      <c r="B141" s="6"/>
      <c r="C141" s="6"/>
      <c r="D141" s="6"/>
      <c r="E141" s="6"/>
      <c r="F141" s="6"/>
      <c r="G141" s="6"/>
      <c r="H141" s="6"/>
      <c r="I141" s="16"/>
      <c r="J141" s="6"/>
      <c r="K141" s="6"/>
      <c r="L141" s="6"/>
      <c r="M141" s="6"/>
      <c r="N141" s="16"/>
      <c r="O141" s="16" t="str">
        <f t="shared" si="8"/>
        <v/>
      </c>
      <c r="P141" s="6"/>
      <c r="Q141" s="16"/>
      <c r="R141" s="16" t="str">
        <f t="shared" si="9"/>
        <v/>
      </c>
      <c r="S141" s="6"/>
      <c r="T141" s="6"/>
      <c r="U141" s="11"/>
    </row>
    <row r="142" spans="1:21">
      <c r="A142" s="10"/>
      <c r="B142" s="6"/>
      <c r="C142" s="6"/>
      <c r="D142" s="6"/>
      <c r="E142" s="6"/>
      <c r="F142" s="6"/>
      <c r="G142" s="6"/>
      <c r="H142" s="6"/>
      <c r="I142" s="16"/>
      <c r="J142" s="6"/>
      <c r="K142" s="6"/>
      <c r="L142" s="6"/>
      <c r="M142" s="6"/>
      <c r="N142" s="16"/>
      <c r="O142" s="16" t="str">
        <f t="shared" si="8"/>
        <v/>
      </c>
      <c r="P142" s="6"/>
      <c r="Q142" s="16"/>
      <c r="R142" s="16" t="str">
        <f t="shared" si="9"/>
        <v/>
      </c>
      <c r="S142" s="6"/>
      <c r="T142" s="6"/>
      <c r="U142" s="11"/>
    </row>
    <row r="143" spans="1:21">
      <c r="A143" s="10"/>
      <c r="B143" s="6"/>
      <c r="C143" s="6"/>
      <c r="D143" s="6"/>
      <c r="E143" s="6"/>
      <c r="F143" s="6"/>
      <c r="G143" s="6"/>
      <c r="H143" s="6"/>
      <c r="I143" s="16"/>
      <c r="J143" s="6"/>
      <c r="K143" s="6"/>
      <c r="L143" s="6"/>
      <c r="M143" s="6"/>
      <c r="N143" s="16"/>
      <c r="O143" s="16" t="str">
        <f t="shared" si="8"/>
        <v/>
      </c>
      <c r="P143" s="6"/>
      <c r="Q143" s="16"/>
      <c r="R143" s="16" t="str">
        <f t="shared" si="9"/>
        <v/>
      </c>
      <c r="S143" s="6"/>
      <c r="T143" s="6"/>
      <c r="U143" s="11"/>
    </row>
    <row r="144" spans="1:21">
      <c r="A144" s="10"/>
      <c r="B144" s="6"/>
      <c r="C144" s="6"/>
      <c r="D144" s="6"/>
      <c r="E144" s="6"/>
      <c r="F144" s="6"/>
      <c r="G144" s="6"/>
      <c r="H144" s="6"/>
      <c r="I144" s="16"/>
      <c r="J144" s="6"/>
      <c r="K144" s="6"/>
      <c r="L144" s="6"/>
      <c r="M144" s="6"/>
      <c r="N144" s="16"/>
      <c r="O144" s="16" t="str">
        <f t="shared" si="8"/>
        <v/>
      </c>
      <c r="P144" s="6"/>
      <c r="Q144" s="16"/>
      <c r="R144" s="16" t="str">
        <f t="shared" si="9"/>
        <v/>
      </c>
      <c r="S144" s="6"/>
      <c r="T144" s="6"/>
      <c r="U144" s="11"/>
    </row>
    <row r="145" spans="1:21">
      <c r="A145" s="10"/>
      <c r="B145" s="6"/>
      <c r="C145" s="6"/>
      <c r="D145" s="6"/>
      <c r="E145" s="6"/>
      <c r="F145" s="6"/>
      <c r="G145" s="6"/>
      <c r="H145" s="6"/>
      <c r="I145" s="16"/>
      <c r="J145" s="6"/>
      <c r="K145" s="6"/>
      <c r="L145" s="6"/>
      <c r="M145" s="6"/>
      <c r="N145" s="16"/>
      <c r="O145" s="16" t="str">
        <f t="shared" si="8"/>
        <v/>
      </c>
      <c r="P145" s="6"/>
      <c r="Q145" s="16"/>
      <c r="R145" s="16" t="str">
        <f t="shared" si="9"/>
        <v/>
      </c>
      <c r="S145" s="6"/>
      <c r="T145" s="6"/>
      <c r="U145" s="11"/>
    </row>
    <row r="146" spans="1:21">
      <c r="A146" s="10"/>
      <c r="B146" s="6"/>
      <c r="C146" s="6"/>
      <c r="D146" s="6"/>
      <c r="E146" s="6"/>
      <c r="F146" s="6"/>
      <c r="G146" s="6"/>
      <c r="H146" s="6"/>
      <c r="I146" s="16"/>
      <c r="J146" s="6"/>
      <c r="K146" s="6"/>
      <c r="L146" s="6"/>
      <c r="M146" s="6"/>
      <c r="N146" s="16"/>
      <c r="O146" s="16" t="str">
        <f t="shared" si="8"/>
        <v/>
      </c>
      <c r="P146" s="6"/>
      <c r="Q146" s="16"/>
      <c r="R146" s="16" t="str">
        <f t="shared" si="9"/>
        <v/>
      </c>
      <c r="S146" s="6"/>
      <c r="T146" s="6"/>
      <c r="U146" s="11"/>
    </row>
    <row r="147" spans="1:21">
      <c r="A147" s="10"/>
      <c r="B147" s="6"/>
      <c r="C147" s="6"/>
      <c r="D147" s="6"/>
      <c r="E147" s="6"/>
      <c r="F147" s="6"/>
      <c r="G147" s="6"/>
      <c r="H147" s="6"/>
      <c r="I147" s="16"/>
      <c r="J147" s="6"/>
      <c r="K147" s="6"/>
      <c r="L147" s="6"/>
      <c r="M147" s="6"/>
      <c r="N147" s="16"/>
      <c r="O147" s="16" t="str">
        <f t="shared" si="8"/>
        <v/>
      </c>
      <c r="P147" s="6"/>
      <c r="Q147" s="16"/>
      <c r="R147" s="16" t="str">
        <f t="shared" si="9"/>
        <v/>
      </c>
      <c r="S147" s="6"/>
      <c r="T147" s="6"/>
      <c r="U147" s="11"/>
    </row>
    <row r="148" spans="1:21">
      <c r="A148" s="10"/>
      <c r="B148" s="6"/>
      <c r="C148" s="6"/>
      <c r="D148" s="6"/>
      <c r="E148" s="6"/>
      <c r="F148" s="6"/>
      <c r="G148" s="6"/>
      <c r="H148" s="6"/>
      <c r="I148" s="16"/>
      <c r="J148" s="6"/>
      <c r="K148" s="6"/>
      <c r="L148" s="6"/>
      <c r="M148" s="6"/>
      <c r="N148" s="16"/>
      <c r="O148" s="16" t="str">
        <f t="shared" si="8"/>
        <v/>
      </c>
      <c r="P148" s="6"/>
      <c r="Q148" s="16"/>
      <c r="R148" s="16" t="str">
        <f t="shared" si="9"/>
        <v/>
      </c>
      <c r="S148" s="6"/>
      <c r="T148" s="6"/>
      <c r="U148" s="11"/>
    </row>
    <row r="149" spans="1:21">
      <c r="A149" s="10"/>
      <c r="B149" s="6"/>
      <c r="C149" s="6"/>
      <c r="D149" s="6"/>
      <c r="E149" s="6"/>
      <c r="F149" s="6"/>
      <c r="G149" s="6"/>
      <c r="H149" s="6"/>
      <c r="I149" s="16"/>
      <c r="J149" s="6"/>
      <c r="K149" s="6"/>
      <c r="L149" s="6"/>
      <c r="M149" s="6"/>
      <c r="N149" s="16"/>
      <c r="O149" s="16" t="str">
        <f t="shared" si="8"/>
        <v/>
      </c>
      <c r="P149" s="6"/>
      <c r="Q149" s="16"/>
      <c r="R149" s="16" t="str">
        <f t="shared" si="9"/>
        <v/>
      </c>
      <c r="S149" s="6"/>
      <c r="T149" s="6"/>
      <c r="U149" s="11"/>
    </row>
    <row r="150" spans="1:21">
      <c r="A150" s="10"/>
      <c r="B150" s="6"/>
      <c r="C150" s="6"/>
      <c r="D150" s="6"/>
      <c r="E150" s="6"/>
      <c r="F150" s="6"/>
      <c r="G150" s="6"/>
      <c r="H150" s="6"/>
      <c r="I150" s="16"/>
      <c r="J150" s="6"/>
      <c r="K150" s="6"/>
      <c r="L150" s="6"/>
      <c r="M150" s="6"/>
      <c r="N150" s="16"/>
      <c r="O150" s="16" t="str">
        <f t="shared" si="8"/>
        <v/>
      </c>
      <c r="P150" s="6"/>
      <c r="Q150" s="16"/>
      <c r="R150" s="16" t="str">
        <f t="shared" si="9"/>
        <v/>
      </c>
      <c r="S150" s="6"/>
      <c r="T150" s="6"/>
      <c r="U150" s="11"/>
    </row>
    <row r="151" spans="1:21">
      <c r="A151" s="10"/>
      <c r="B151" s="6"/>
      <c r="C151" s="6"/>
      <c r="D151" s="6"/>
      <c r="E151" s="6"/>
      <c r="F151" s="6"/>
      <c r="G151" s="6"/>
      <c r="H151" s="6"/>
      <c r="I151" s="16"/>
      <c r="J151" s="6"/>
      <c r="K151" s="6"/>
      <c r="L151" s="6"/>
      <c r="M151" s="6"/>
      <c r="N151" s="16"/>
      <c r="O151" s="16" t="str">
        <f t="shared" si="8"/>
        <v/>
      </c>
      <c r="P151" s="6"/>
      <c r="Q151" s="16"/>
      <c r="R151" s="16" t="str">
        <f t="shared" si="9"/>
        <v/>
      </c>
      <c r="S151" s="6"/>
      <c r="T151" s="6"/>
      <c r="U151" s="11"/>
    </row>
    <row r="152" spans="1:21">
      <c r="A152" s="10"/>
      <c r="B152" s="6"/>
      <c r="C152" s="6"/>
      <c r="D152" s="6"/>
      <c r="E152" s="6"/>
      <c r="F152" s="6"/>
      <c r="G152" s="6"/>
      <c r="H152" s="6"/>
      <c r="I152" s="16"/>
      <c r="J152" s="6"/>
      <c r="K152" s="6"/>
      <c r="L152" s="6"/>
      <c r="M152" s="6"/>
      <c r="N152" s="16"/>
      <c r="O152" s="16" t="str">
        <f t="shared" si="8"/>
        <v/>
      </c>
      <c r="P152" s="6"/>
      <c r="Q152" s="16"/>
      <c r="R152" s="16" t="str">
        <f t="shared" si="9"/>
        <v/>
      </c>
      <c r="S152" s="6"/>
      <c r="T152" s="6"/>
      <c r="U152" s="11"/>
    </row>
    <row r="153" spans="1:21">
      <c r="A153" s="10"/>
      <c r="B153" s="6"/>
      <c r="C153" s="6"/>
      <c r="D153" s="6"/>
      <c r="E153" s="6"/>
      <c r="F153" s="6"/>
      <c r="G153" s="6"/>
      <c r="H153" s="6"/>
      <c r="I153" s="16"/>
      <c r="J153" s="6"/>
      <c r="K153" s="6"/>
      <c r="L153" s="6"/>
      <c r="M153" s="6"/>
      <c r="N153" s="16"/>
      <c r="O153" s="16" t="str">
        <f t="shared" si="8"/>
        <v/>
      </c>
      <c r="P153" s="6"/>
      <c r="Q153" s="16"/>
      <c r="R153" s="16" t="str">
        <f t="shared" si="9"/>
        <v/>
      </c>
      <c r="S153" s="6"/>
      <c r="T153" s="6"/>
      <c r="U153" s="11"/>
    </row>
    <row r="154" spans="1:21">
      <c r="A154" s="10"/>
      <c r="B154" s="6"/>
      <c r="C154" s="6"/>
      <c r="D154" s="6"/>
      <c r="E154" s="6"/>
      <c r="F154" s="6"/>
      <c r="G154" s="6"/>
      <c r="H154" s="6"/>
      <c r="I154" s="16"/>
      <c r="J154" s="6"/>
      <c r="K154" s="6"/>
      <c r="L154" s="6"/>
      <c r="M154" s="6"/>
      <c r="N154" s="16"/>
      <c r="O154" s="16" t="str">
        <f t="shared" si="8"/>
        <v/>
      </c>
      <c r="P154" s="6"/>
      <c r="Q154" s="16"/>
      <c r="R154" s="16" t="str">
        <f t="shared" si="9"/>
        <v/>
      </c>
      <c r="S154" s="6"/>
      <c r="T154" s="6"/>
      <c r="U154" s="11"/>
    </row>
    <row r="155" spans="1:21">
      <c r="A155" s="10"/>
      <c r="B155" s="6"/>
      <c r="C155" s="6"/>
      <c r="D155" s="6"/>
      <c r="E155" s="6"/>
      <c r="F155" s="6"/>
      <c r="G155" s="6"/>
      <c r="H155" s="6"/>
      <c r="I155" s="16"/>
      <c r="J155" s="6"/>
      <c r="K155" s="6"/>
      <c r="L155" s="6"/>
      <c r="M155" s="6"/>
      <c r="N155" s="16"/>
      <c r="O155" s="16" t="str">
        <f t="shared" si="8"/>
        <v/>
      </c>
      <c r="P155" s="6"/>
      <c r="Q155" s="16"/>
      <c r="R155" s="16" t="str">
        <f t="shared" si="9"/>
        <v/>
      </c>
      <c r="S155" s="6"/>
      <c r="T155" s="6"/>
      <c r="U155" s="11"/>
    </row>
    <row r="156" spans="1:21">
      <c r="A156" s="10"/>
      <c r="B156" s="6"/>
      <c r="C156" s="6"/>
      <c r="D156" s="6"/>
      <c r="E156" s="6"/>
      <c r="F156" s="6"/>
      <c r="G156" s="6"/>
      <c r="H156" s="6"/>
      <c r="I156" s="16"/>
      <c r="J156" s="6"/>
      <c r="K156" s="6"/>
      <c r="L156" s="6"/>
      <c r="M156" s="6"/>
      <c r="N156" s="16"/>
      <c r="O156" s="16" t="str">
        <f t="shared" si="8"/>
        <v/>
      </c>
      <c r="P156" s="6"/>
      <c r="Q156" s="16"/>
      <c r="R156" s="16" t="str">
        <f t="shared" si="9"/>
        <v/>
      </c>
      <c r="S156" s="6"/>
      <c r="T156" s="6"/>
      <c r="U156" s="11"/>
    </row>
    <row r="157" spans="1:21">
      <c r="A157" s="10"/>
      <c r="B157" s="6"/>
      <c r="C157" s="6"/>
      <c r="D157" s="6"/>
      <c r="E157" s="6"/>
      <c r="F157" s="6"/>
      <c r="G157" s="6"/>
      <c r="H157" s="6"/>
      <c r="I157" s="16"/>
      <c r="J157" s="6"/>
      <c r="K157" s="6"/>
      <c r="L157" s="6"/>
      <c r="M157" s="6"/>
      <c r="N157" s="16"/>
      <c r="O157" s="16" t="str">
        <f t="shared" si="8"/>
        <v/>
      </c>
      <c r="P157" s="6"/>
      <c r="Q157" s="16"/>
      <c r="R157" s="16" t="str">
        <f t="shared" si="9"/>
        <v/>
      </c>
      <c r="S157" s="6"/>
      <c r="T157" s="6"/>
      <c r="U157" s="11"/>
    </row>
    <row r="158" spans="1:21">
      <c r="A158" s="10"/>
      <c r="B158" s="6"/>
      <c r="C158" s="6"/>
      <c r="D158" s="6"/>
      <c r="E158" s="6"/>
      <c r="F158" s="6"/>
      <c r="G158" s="6"/>
      <c r="H158" s="6"/>
      <c r="I158" s="16"/>
      <c r="J158" s="6"/>
      <c r="K158" s="6"/>
      <c r="L158" s="6"/>
      <c r="M158" s="6"/>
      <c r="N158" s="16"/>
      <c r="O158" s="16" t="str">
        <f t="shared" si="8"/>
        <v/>
      </c>
      <c r="P158" s="6"/>
      <c r="Q158" s="16"/>
      <c r="R158" s="16" t="str">
        <f t="shared" si="9"/>
        <v/>
      </c>
      <c r="S158" s="6"/>
      <c r="T158" s="6"/>
      <c r="U158" s="11"/>
    </row>
    <row r="159" spans="1:21">
      <c r="A159" s="10"/>
      <c r="B159" s="6"/>
      <c r="C159" s="6"/>
      <c r="D159" s="6"/>
      <c r="E159" s="6"/>
      <c r="F159" s="6"/>
      <c r="G159" s="6"/>
      <c r="H159" s="6"/>
      <c r="I159" s="16"/>
      <c r="J159" s="6"/>
      <c r="K159" s="6"/>
      <c r="L159" s="6"/>
      <c r="M159" s="6"/>
      <c r="N159" s="16"/>
      <c r="O159" s="16" t="str">
        <f t="shared" si="8"/>
        <v/>
      </c>
      <c r="P159" s="6"/>
      <c r="Q159" s="16"/>
      <c r="R159" s="16" t="str">
        <f t="shared" si="9"/>
        <v/>
      </c>
      <c r="S159" s="6"/>
      <c r="T159" s="6"/>
      <c r="U159" s="11"/>
    </row>
    <row r="160" spans="1:21">
      <c r="A160" s="10"/>
      <c r="B160" s="6"/>
      <c r="C160" s="6"/>
      <c r="D160" s="6"/>
      <c r="E160" s="6"/>
      <c r="F160" s="6"/>
      <c r="G160" s="6"/>
      <c r="H160" s="6"/>
      <c r="I160" s="16"/>
      <c r="J160" s="6"/>
      <c r="K160" s="6"/>
      <c r="L160" s="6"/>
      <c r="M160" s="6"/>
      <c r="N160" s="16"/>
      <c r="O160" s="16" t="str">
        <f t="shared" si="8"/>
        <v/>
      </c>
      <c r="P160" s="6"/>
      <c r="Q160" s="16"/>
      <c r="R160" s="16" t="str">
        <f t="shared" si="9"/>
        <v/>
      </c>
      <c r="S160" s="6"/>
      <c r="T160" s="6"/>
      <c r="U160" s="11"/>
    </row>
    <row r="161" spans="1:21">
      <c r="A161" s="10"/>
      <c r="B161" s="6"/>
      <c r="C161" s="6"/>
      <c r="D161" s="6"/>
      <c r="E161" s="6"/>
      <c r="F161" s="6"/>
      <c r="G161" s="6"/>
      <c r="H161" s="6"/>
      <c r="I161" s="16"/>
      <c r="J161" s="6"/>
      <c r="K161" s="6"/>
      <c r="L161" s="6"/>
      <c r="M161" s="6"/>
      <c r="N161" s="16"/>
      <c r="O161" s="16" t="str">
        <f t="shared" si="8"/>
        <v/>
      </c>
      <c r="P161" s="6"/>
      <c r="Q161" s="16"/>
      <c r="R161" s="16" t="str">
        <f t="shared" si="9"/>
        <v/>
      </c>
      <c r="S161" s="6"/>
      <c r="T161" s="6"/>
      <c r="U161" s="11"/>
    </row>
    <row r="162" spans="1:21">
      <c r="A162" s="10"/>
      <c r="B162" s="6"/>
      <c r="C162" s="6"/>
      <c r="D162" s="6"/>
      <c r="E162" s="6"/>
      <c r="F162" s="6"/>
      <c r="G162" s="6"/>
      <c r="H162" s="6"/>
      <c r="I162" s="16"/>
      <c r="J162" s="6"/>
      <c r="K162" s="6"/>
      <c r="L162" s="6"/>
      <c r="M162" s="6"/>
      <c r="N162" s="16"/>
      <c r="O162" s="16" t="str">
        <f t="shared" si="8"/>
        <v/>
      </c>
      <c r="P162" s="6"/>
      <c r="Q162" s="16"/>
      <c r="R162" s="16" t="str">
        <f t="shared" si="9"/>
        <v/>
      </c>
      <c r="S162" s="6"/>
      <c r="T162" s="6"/>
      <c r="U162" s="11"/>
    </row>
    <row r="163" spans="1:21">
      <c r="A163" s="10"/>
      <c r="B163" s="6"/>
      <c r="C163" s="6"/>
      <c r="D163" s="6"/>
      <c r="E163" s="6"/>
      <c r="F163" s="6"/>
      <c r="G163" s="6"/>
      <c r="H163" s="6"/>
      <c r="I163" s="16"/>
      <c r="J163" s="6"/>
      <c r="K163" s="6"/>
      <c r="L163" s="6"/>
      <c r="M163" s="6"/>
      <c r="N163" s="16"/>
      <c r="O163" s="16" t="str">
        <f t="shared" ref="O163:O194" si="10">IF(OR(N163="",M163=""),"",DATE(YEAR(N163),MONTH(N163)+M163,DAY(N163)))</f>
        <v/>
      </c>
      <c r="P163" s="6"/>
      <c r="Q163" s="16"/>
      <c r="R163" s="16" t="str">
        <f t="shared" ref="R163:R194" si="11">IF(OR(Q163="",P163=""),"",DATE(YEAR(Q163),MONTH(Q163)+P163,DAY(Q163)))</f>
        <v/>
      </c>
      <c r="S163" s="6"/>
      <c r="T163" s="6"/>
      <c r="U163" s="11"/>
    </row>
    <row r="164" spans="1:21">
      <c r="A164" s="10"/>
      <c r="B164" s="6"/>
      <c r="C164" s="6"/>
      <c r="D164" s="6"/>
      <c r="E164" s="6"/>
      <c r="F164" s="6"/>
      <c r="G164" s="6"/>
      <c r="H164" s="6"/>
      <c r="I164" s="16"/>
      <c r="J164" s="6"/>
      <c r="K164" s="6"/>
      <c r="L164" s="6"/>
      <c r="M164" s="6"/>
      <c r="N164" s="16"/>
      <c r="O164" s="16" t="str">
        <f t="shared" si="10"/>
        <v/>
      </c>
      <c r="P164" s="6"/>
      <c r="Q164" s="16"/>
      <c r="R164" s="16" t="str">
        <f t="shared" si="11"/>
        <v/>
      </c>
      <c r="S164" s="6"/>
      <c r="T164" s="6"/>
      <c r="U164" s="11"/>
    </row>
    <row r="165" spans="1:21">
      <c r="A165" s="10"/>
      <c r="B165" s="6"/>
      <c r="C165" s="6"/>
      <c r="D165" s="6"/>
      <c r="E165" s="6"/>
      <c r="F165" s="6"/>
      <c r="G165" s="6"/>
      <c r="H165" s="6"/>
      <c r="I165" s="16"/>
      <c r="J165" s="6"/>
      <c r="K165" s="6"/>
      <c r="L165" s="6"/>
      <c r="M165" s="6"/>
      <c r="N165" s="16"/>
      <c r="O165" s="16" t="str">
        <f t="shared" si="10"/>
        <v/>
      </c>
      <c r="P165" s="6"/>
      <c r="Q165" s="16"/>
      <c r="R165" s="16" t="str">
        <f t="shared" si="11"/>
        <v/>
      </c>
      <c r="S165" s="6"/>
      <c r="T165" s="6"/>
      <c r="U165" s="11"/>
    </row>
    <row r="166" spans="1:21">
      <c r="A166" s="10"/>
      <c r="B166" s="6"/>
      <c r="C166" s="6"/>
      <c r="D166" s="6"/>
      <c r="E166" s="6"/>
      <c r="F166" s="6"/>
      <c r="G166" s="6"/>
      <c r="H166" s="6"/>
      <c r="I166" s="16"/>
      <c r="J166" s="6"/>
      <c r="K166" s="6"/>
      <c r="L166" s="6"/>
      <c r="M166" s="6"/>
      <c r="N166" s="16"/>
      <c r="O166" s="16" t="str">
        <f t="shared" si="10"/>
        <v/>
      </c>
      <c r="P166" s="6"/>
      <c r="Q166" s="16"/>
      <c r="R166" s="16" t="str">
        <f t="shared" si="11"/>
        <v/>
      </c>
      <c r="S166" s="6"/>
      <c r="T166" s="6"/>
      <c r="U166" s="11"/>
    </row>
    <row r="167" spans="1:21">
      <c r="A167" s="10"/>
      <c r="B167" s="6"/>
      <c r="C167" s="6"/>
      <c r="D167" s="6"/>
      <c r="E167" s="6"/>
      <c r="F167" s="6"/>
      <c r="G167" s="6"/>
      <c r="H167" s="6"/>
      <c r="I167" s="16"/>
      <c r="J167" s="6"/>
      <c r="K167" s="6"/>
      <c r="L167" s="6"/>
      <c r="M167" s="6"/>
      <c r="N167" s="16"/>
      <c r="O167" s="16" t="str">
        <f t="shared" si="10"/>
        <v/>
      </c>
      <c r="P167" s="6"/>
      <c r="Q167" s="16"/>
      <c r="R167" s="16" t="str">
        <f t="shared" si="11"/>
        <v/>
      </c>
      <c r="S167" s="6"/>
      <c r="T167" s="6"/>
      <c r="U167" s="11"/>
    </row>
    <row r="168" spans="1:21">
      <c r="A168" s="10"/>
      <c r="B168" s="6"/>
      <c r="C168" s="6"/>
      <c r="D168" s="6"/>
      <c r="E168" s="6"/>
      <c r="F168" s="6"/>
      <c r="G168" s="6"/>
      <c r="H168" s="6"/>
      <c r="I168" s="16"/>
      <c r="J168" s="6"/>
      <c r="K168" s="6"/>
      <c r="L168" s="6"/>
      <c r="M168" s="6"/>
      <c r="N168" s="16"/>
      <c r="O168" s="16" t="str">
        <f t="shared" si="10"/>
        <v/>
      </c>
      <c r="P168" s="6"/>
      <c r="Q168" s="16"/>
      <c r="R168" s="16" t="str">
        <f t="shared" si="11"/>
        <v/>
      </c>
      <c r="S168" s="6"/>
      <c r="T168" s="6"/>
      <c r="U168" s="11"/>
    </row>
    <row r="169" spans="1:21">
      <c r="A169" s="10"/>
      <c r="B169" s="6"/>
      <c r="C169" s="6"/>
      <c r="D169" s="6"/>
      <c r="E169" s="6"/>
      <c r="F169" s="6"/>
      <c r="G169" s="6"/>
      <c r="H169" s="6"/>
      <c r="I169" s="16"/>
      <c r="J169" s="6"/>
      <c r="K169" s="6"/>
      <c r="L169" s="6"/>
      <c r="M169" s="6"/>
      <c r="N169" s="16"/>
      <c r="O169" s="16" t="str">
        <f t="shared" si="10"/>
        <v/>
      </c>
      <c r="P169" s="6"/>
      <c r="Q169" s="16"/>
      <c r="R169" s="16" t="str">
        <f t="shared" si="11"/>
        <v/>
      </c>
      <c r="S169" s="6"/>
      <c r="T169" s="6"/>
      <c r="U169" s="11"/>
    </row>
    <row r="170" spans="1:21">
      <c r="A170" s="10"/>
      <c r="B170" s="6"/>
      <c r="C170" s="6"/>
      <c r="D170" s="6"/>
      <c r="E170" s="6"/>
      <c r="F170" s="6"/>
      <c r="G170" s="6"/>
      <c r="H170" s="6"/>
      <c r="I170" s="16"/>
      <c r="J170" s="6"/>
      <c r="K170" s="6"/>
      <c r="L170" s="6"/>
      <c r="M170" s="6"/>
      <c r="N170" s="16"/>
      <c r="O170" s="16" t="str">
        <f t="shared" si="10"/>
        <v/>
      </c>
      <c r="P170" s="6"/>
      <c r="Q170" s="16"/>
      <c r="R170" s="16" t="str">
        <f t="shared" si="11"/>
        <v/>
      </c>
      <c r="S170" s="6"/>
      <c r="T170" s="6"/>
      <c r="U170" s="11"/>
    </row>
    <row r="171" spans="1:21">
      <c r="A171" s="10"/>
      <c r="B171" s="6"/>
      <c r="C171" s="6"/>
      <c r="D171" s="6"/>
      <c r="E171" s="6"/>
      <c r="F171" s="6"/>
      <c r="G171" s="6"/>
      <c r="H171" s="6"/>
      <c r="I171" s="16"/>
      <c r="J171" s="6"/>
      <c r="K171" s="6"/>
      <c r="L171" s="6"/>
      <c r="M171" s="6"/>
      <c r="N171" s="16"/>
      <c r="O171" s="16" t="str">
        <f t="shared" si="10"/>
        <v/>
      </c>
      <c r="P171" s="6"/>
      <c r="Q171" s="16"/>
      <c r="R171" s="16" t="str">
        <f t="shared" si="11"/>
        <v/>
      </c>
      <c r="S171" s="6"/>
      <c r="T171" s="6"/>
      <c r="U171" s="11"/>
    </row>
    <row r="172" spans="1:21">
      <c r="A172" s="10"/>
      <c r="B172" s="6"/>
      <c r="C172" s="6"/>
      <c r="D172" s="6"/>
      <c r="E172" s="6"/>
      <c r="F172" s="6"/>
      <c r="G172" s="6"/>
      <c r="H172" s="6"/>
      <c r="I172" s="16"/>
      <c r="J172" s="6"/>
      <c r="K172" s="6"/>
      <c r="L172" s="6"/>
      <c r="M172" s="6"/>
      <c r="N172" s="16"/>
      <c r="O172" s="16" t="str">
        <f t="shared" si="10"/>
        <v/>
      </c>
      <c r="P172" s="6"/>
      <c r="Q172" s="16"/>
      <c r="R172" s="16" t="str">
        <f t="shared" si="11"/>
        <v/>
      </c>
      <c r="S172" s="6"/>
      <c r="T172" s="6"/>
      <c r="U172" s="11"/>
    </row>
    <row r="173" spans="1:21">
      <c r="A173" s="10"/>
      <c r="B173" s="6"/>
      <c r="C173" s="6"/>
      <c r="D173" s="6"/>
      <c r="E173" s="6"/>
      <c r="F173" s="6"/>
      <c r="G173" s="6"/>
      <c r="H173" s="6"/>
      <c r="I173" s="16"/>
      <c r="J173" s="6"/>
      <c r="K173" s="6"/>
      <c r="L173" s="6"/>
      <c r="M173" s="6"/>
      <c r="N173" s="16"/>
      <c r="O173" s="16" t="str">
        <f t="shared" si="10"/>
        <v/>
      </c>
      <c r="P173" s="6"/>
      <c r="Q173" s="16"/>
      <c r="R173" s="16" t="str">
        <f t="shared" si="11"/>
        <v/>
      </c>
      <c r="S173" s="6"/>
      <c r="T173" s="6"/>
      <c r="U173" s="11"/>
    </row>
    <row r="174" spans="1:21">
      <c r="A174" s="10"/>
      <c r="B174" s="6"/>
      <c r="C174" s="6"/>
      <c r="D174" s="6"/>
      <c r="E174" s="6"/>
      <c r="F174" s="6"/>
      <c r="G174" s="6"/>
      <c r="H174" s="6"/>
      <c r="I174" s="16"/>
      <c r="J174" s="6"/>
      <c r="K174" s="6"/>
      <c r="L174" s="6"/>
      <c r="M174" s="6"/>
      <c r="N174" s="16"/>
      <c r="O174" s="16" t="str">
        <f t="shared" si="10"/>
        <v/>
      </c>
      <c r="P174" s="6"/>
      <c r="Q174" s="16"/>
      <c r="R174" s="16" t="str">
        <f t="shared" si="11"/>
        <v/>
      </c>
      <c r="S174" s="6"/>
      <c r="T174" s="6"/>
      <c r="U174" s="11"/>
    </row>
    <row r="175" spans="1:21">
      <c r="A175" s="10"/>
      <c r="B175" s="6"/>
      <c r="C175" s="6"/>
      <c r="D175" s="6"/>
      <c r="E175" s="6"/>
      <c r="F175" s="6"/>
      <c r="G175" s="6"/>
      <c r="H175" s="6"/>
      <c r="I175" s="16"/>
      <c r="J175" s="6"/>
      <c r="K175" s="6"/>
      <c r="L175" s="6"/>
      <c r="M175" s="6"/>
      <c r="N175" s="16"/>
      <c r="O175" s="16" t="str">
        <f t="shared" si="10"/>
        <v/>
      </c>
      <c r="P175" s="6"/>
      <c r="Q175" s="16"/>
      <c r="R175" s="16" t="str">
        <f t="shared" si="11"/>
        <v/>
      </c>
      <c r="S175" s="6"/>
      <c r="T175" s="6"/>
      <c r="U175" s="11"/>
    </row>
    <row r="176" spans="1:21">
      <c r="A176" s="10"/>
      <c r="B176" s="6"/>
      <c r="C176" s="6"/>
      <c r="D176" s="6"/>
      <c r="E176" s="6"/>
      <c r="F176" s="6"/>
      <c r="G176" s="6"/>
      <c r="H176" s="6"/>
      <c r="I176" s="16"/>
      <c r="J176" s="6"/>
      <c r="K176" s="6"/>
      <c r="L176" s="6"/>
      <c r="M176" s="6"/>
      <c r="N176" s="16"/>
      <c r="O176" s="16" t="str">
        <f t="shared" si="10"/>
        <v/>
      </c>
      <c r="P176" s="6"/>
      <c r="Q176" s="16"/>
      <c r="R176" s="16" t="str">
        <f t="shared" si="11"/>
        <v/>
      </c>
      <c r="S176" s="6"/>
      <c r="T176" s="6"/>
      <c r="U176" s="11"/>
    </row>
    <row r="177" spans="1:21">
      <c r="A177" s="10"/>
      <c r="B177" s="6"/>
      <c r="C177" s="6"/>
      <c r="D177" s="6"/>
      <c r="E177" s="6"/>
      <c r="F177" s="6"/>
      <c r="G177" s="6"/>
      <c r="H177" s="6"/>
      <c r="I177" s="16"/>
      <c r="J177" s="6"/>
      <c r="K177" s="6"/>
      <c r="L177" s="6"/>
      <c r="M177" s="6"/>
      <c r="N177" s="16"/>
      <c r="O177" s="16" t="str">
        <f t="shared" si="10"/>
        <v/>
      </c>
      <c r="P177" s="6"/>
      <c r="Q177" s="16"/>
      <c r="R177" s="16" t="str">
        <f t="shared" si="11"/>
        <v/>
      </c>
      <c r="S177" s="6"/>
      <c r="T177" s="6"/>
      <c r="U177" s="11"/>
    </row>
    <row r="178" spans="1:21">
      <c r="A178" s="10"/>
      <c r="B178" s="6"/>
      <c r="C178" s="6"/>
      <c r="D178" s="6"/>
      <c r="E178" s="6"/>
      <c r="F178" s="6"/>
      <c r="G178" s="6"/>
      <c r="H178" s="6"/>
      <c r="I178" s="16"/>
      <c r="J178" s="6"/>
      <c r="K178" s="6"/>
      <c r="L178" s="6"/>
      <c r="M178" s="6"/>
      <c r="N178" s="16"/>
      <c r="O178" s="16" t="str">
        <f t="shared" si="10"/>
        <v/>
      </c>
      <c r="P178" s="6"/>
      <c r="Q178" s="16"/>
      <c r="R178" s="16" t="str">
        <f t="shared" si="11"/>
        <v/>
      </c>
      <c r="S178" s="6"/>
      <c r="T178" s="6"/>
      <c r="U178" s="11"/>
    </row>
    <row r="179" spans="1:21">
      <c r="A179" s="10"/>
      <c r="B179" s="6"/>
      <c r="C179" s="6"/>
      <c r="D179" s="6"/>
      <c r="E179" s="6"/>
      <c r="F179" s="6"/>
      <c r="G179" s="6"/>
      <c r="H179" s="6"/>
      <c r="I179" s="16"/>
      <c r="J179" s="6"/>
      <c r="K179" s="6"/>
      <c r="L179" s="6"/>
      <c r="M179" s="6"/>
      <c r="N179" s="16"/>
      <c r="O179" s="16" t="str">
        <f t="shared" si="10"/>
        <v/>
      </c>
      <c r="P179" s="6"/>
      <c r="Q179" s="16"/>
      <c r="R179" s="16" t="str">
        <f t="shared" si="11"/>
        <v/>
      </c>
      <c r="S179" s="6"/>
      <c r="T179" s="6"/>
      <c r="U179" s="11"/>
    </row>
    <row r="180" spans="1:21">
      <c r="A180" s="10"/>
      <c r="B180" s="6"/>
      <c r="C180" s="6"/>
      <c r="D180" s="6"/>
      <c r="E180" s="6"/>
      <c r="F180" s="6"/>
      <c r="G180" s="6"/>
      <c r="H180" s="6"/>
      <c r="I180" s="16"/>
      <c r="J180" s="6"/>
      <c r="K180" s="6"/>
      <c r="L180" s="6"/>
      <c r="M180" s="6"/>
      <c r="N180" s="16"/>
      <c r="O180" s="16" t="str">
        <f t="shared" si="10"/>
        <v/>
      </c>
      <c r="P180" s="6"/>
      <c r="Q180" s="16"/>
      <c r="R180" s="16" t="str">
        <f t="shared" si="11"/>
        <v/>
      </c>
      <c r="S180" s="6"/>
      <c r="T180" s="6"/>
      <c r="U180" s="11"/>
    </row>
    <row r="181" spans="1:21">
      <c r="A181" s="10"/>
      <c r="B181" s="6"/>
      <c r="C181" s="6"/>
      <c r="D181" s="6"/>
      <c r="E181" s="6"/>
      <c r="F181" s="6"/>
      <c r="G181" s="6"/>
      <c r="H181" s="6"/>
      <c r="I181" s="16"/>
      <c r="J181" s="6"/>
      <c r="K181" s="6"/>
      <c r="L181" s="6"/>
      <c r="M181" s="6"/>
      <c r="N181" s="16"/>
      <c r="O181" s="16" t="str">
        <f t="shared" si="10"/>
        <v/>
      </c>
      <c r="P181" s="6"/>
      <c r="Q181" s="16"/>
      <c r="R181" s="16" t="str">
        <f t="shared" si="11"/>
        <v/>
      </c>
      <c r="S181" s="6"/>
      <c r="T181" s="6"/>
      <c r="U181" s="11"/>
    </row>
    <row r="182" spans="1:21">
      <c r="A182" s="10"/>
      <c r="B182" s="6"/>
      <c r="C182" s="6"/>
      <c r="D182" s="6"/>
      <c r="E182" s="6"/>
      <c r="F182" s="6"/>
      <c r="G182" s="6"/>
      <c r="H182" s="6"/>
      <c r="I182" s="16"/>
      <c r="J182" s="6"/>
      <c r="K182" s="6"/>
      <c r="L182" s="6"/>
      <c r="M182" s="6"/>
      <c r="N182" s="16"/>
      <c r="O182" s="16" t="str">
        <f t="shared" si="10"/>
        <v/>
      </c>
      <c r="P182" s="6"/>
      <c r="Q182" s="16"/>
      <c r="R182" s="16" t="str">
        <f t="shared" si="11"/>
        <v/>
      </c>
      <c r="S182" s="6"/>
      <c r="T182" s="6"/>
      <c r="U182" s="11"/>
    </row>
    <row r="183" spans="1:21">
      <c r="A183" s="10"/>
      <c r="B183" s="6"/>
      <c r="C183" s="6"/>
      <c r="D183" s="6"/>
      <c r="E183" s="6"/>
      <c r="F183" s="6"/>
      <c r="G183" s="6"/>
      <c r="H183" s="6"/>
      <c r="I183" s="16"/>
      <c r="J183" s="6"/>
      <c r="K183" s="6"/>
      <c r="L183" s="6"/>
      <c r="M183" s="6"/>
      <c r="N183" s="16"/>
      <c r="O183" s="16" t="str">
        <f t="shared" si="10"/>
        <v/>
      </c>
      <c r="P183" s="6"/>
      <c r="Q183" s="16"/>
      <c r="R183" s="16" t="str">
        <f t="shared" si="11"/>
        <v/>
      </c>
      <c r="S183" s="6"/>
      <c r="T183" s="6"/>
      <c r="U183" s="11"/>
    </row>
    <row r="184" spans="1:21">
      <c r="A184" s="10"/>
      <c r="B184" s="6"/>
      <c r="C184" s="6"/>
      <c r="D184" s="6"/>
      <c r="E184" s="6"/>
      <c r="F184" s="6"/>
      <c r="G184" s="6"/>
      <c r="H184" s="6"/>
      <c r="I184" s="16"/>
      <c r="J184" s="6"/>
      <c r="K184" s="6"/>
      <c r="L184" s="6"/>
      <c r="M184" s="6"/>
      <c r="N184" s="16"/>
      <c r="O184" s="16" t="str">
        <f t="shared" si="10"/>
        <v/>
      </c>
      <c r="P184" s="6"/>
      <c r="Q184" s="16"/>
      <c r="R184" s="16" t="str">
        <f t="shared" si="11"/>
        <v/>
      </c>
      <c r="S184" s="6"/>
      <c r="T184" s="6"/>
      <c r="U184" s="11"/>
    </row>
    <row r="185" spans="1:21">
      <c r="A185" s="10"/>
      <c r="B185" s="6"/>
      <c r="C185" s="6"/>
      <c r="D185" s="6"/>
      <c r="E185" s="6"/>
      <c r="F185" s="6"/>
      <c r="G185" s="6"/>
      <c r="H185" s="6"/>
      <c r="I185" s="16"/>
      <c r="J185" s="6"/>
      <c r="K185" s="6"/>
      <c r="L185" s="6"/>
      <c r="M185" s="6"/>
      <c r="N185" s="16"/>
      <c r="O185" s="16" t="str">
        <f t="shared" si="10"/>
        <v/>
      </c>
      <c r="P185" s="6"/>
      <c r="Q185" s="16"/>
      <c r="R185" s="16" t="str">
        <f t="shared" si="11"/>
        <v/>
      </c>
      <c r="S185" s="6"/>
      <c r="T185" s="6"/>
      <c r="U185" s="11"/>
    </row>
    <row r="186" spans="1:21">
      <c r="A186" s="10"/>
      <c r="B186" s="6"/>
      <c r="C186" s="6"/>
      <c r="D186" s="6"/>
      <c r="E186" s="6"/>
      <c r="F186" s="6"/>
      <c r="G186" s="6"/>
      <c r="H186" s="6"/>
      <c r="I186" s="16"/>
      <c r="J186" s="6"/>
      <c r="K186" s="6"/>
      <c r="L186" s="6"/>
      <c r="M186" s="6"/>
      <c r="N186" s="16"/>
      <c r="O186" s="16" t="str">
        <f t="shared" si="10"/>
        <v/>
      </c>
      <c r="P186" s="6"/>
      <c r="Q186" s="16"/>
      <c r="R186" s="16" t="str">
        <f t="shared" si="11"/>
        <v/>
      </c>
      <c r="S186" s="6"/>
      <c r="T186" s="6"/>
      <c r="U186" s="11"/>
    </row>
    <row r="187" spans="1:21">
      <c r="A187" s="10"/>
      <c r="B187" s="6"/>
      <c r="C187" s="6"/>
      <c r="D187" s="6"/>
      <c r="E187" s="6"/>
      <c r="F187" s="6"/>
      <c r="G187" s="6"/>
      <c r="H187" s="6"/>
      <c r="I187" s="16"/>
      <c r="J187" s="6"/>
      <c r="K187" s="6"/>
      <c r="L187" s="6"/>
      <c r="M187" s="6"/>
      <c r="N187" s="16"/>
      <c r="O187" s="16" t="str">
        <f t="shared" si="10"/>
        <v/>
      </c>
      <c r="P187" s="6"/>
      <c r="Q187" s="16"/>
      <c r="R187" s="16" t="str">
        <f t="shared" si="11"/>
        <v/>
      </c>
      <c r="S187" s="6"/>
      <c r="T187" s="6"/>
      <c r="U187" s="11"/>
    </row>
    <row r="188" spans="1:21">
      <c r="A188" s="10"/>
      <c r="B188" s="6"/>
      <c r="C188" s="6"/>
      <c r="D188" s="6"/>
      <c r="E188" s="6"/>
      <c r="F188" s="6"/>
      <c r="G188" s="6"/>
      <c r="H188" s="6"/>
      <c r="I188" s="16"/>
      <c r="J188" s="6"/>
      <c r="K188" s="6"/>
      <c r="L188" s="6"/>
      <c r="M188" s="6"/>
      <c r="N188" s="16"/>
      <c r="O188" s="16" t="str">
        <f t="shared" si="10"/>
        <v/>
      </c>
      <c r="P188" s="6"/>
      <c r="Q188" s="16"/>
      <c r="R188" s="16" t="str">
        <f t="shared" si="11"/>
        <v/>
      </c>
      <c r="S188" s="6"/>
      <c r="T188" s="6"/>
      <c r="U188" s="11"/>
    </row>
    <row r="189" spans="1:21">
      <c r="A189" s="10"/>
      <c r="B189" s="6"/>
      <c r="C189" s="6"/>
      <c r="D189" s="6"/>
      <c r="E189" s="6"/>
      <c r="F189" s="6"/>
      <c r="G189" s="6"/>
      <c r="H189" s="6"/>
      <c r="I189" s="16"/>
      <c r="J189" s="6"/>
      <c r="K189" s="6"/>
      <c r="L189" s="6"/>
      <c r="M189" s="6"/>
      <c r="N189" s="16"/>
      <c r="O189" s="16" t="str">
        <f t="shared" si="10"/>
        <v/>
      </c>
      <c r="P189" s="6"/>
      <c r="Q189" s="16"/>
      <c r="R189" s="16" t="str">
        <f t="shared" si="11"/>
        <v/>
      </c>
      <c r="S189" s="6"/>
      <c r="T189" s="6"/>
      <c r="U189" s="11"/>
    </row>
    <row r="190" spans="1:21">
      <c r="A190" s="10"/>
      <c r="B190" s="6"/>
      <c r="C190" s="6"/>
      <c r="D190" s="6"/>
      <c r="E190" s="6"/>
      <c r="F190" s="6"/>
      <c r="G190" s="6"/>
      <c r="H190" s="6"/>
      <c r="I190" s="16"/>
      <c r="J190" s="6"/>
      <c r="K190" s="6"/>
      <c r="L190" s="6"/>
      <c r="M190" s="6"/>
      <c r="N190" s="16"/>
      <c r="O190" s="16" t="str">
        <f t="shared" si="10"/>
        <v/>
      </c>
      <c r="P190" s="6"/>
      <c r="Q190" s="16"/>
      <c r="R190" s="16" t="str">
        <f t="shared" si="11"/>
        <v/>
      </c>
      <c r="S190" s="6"/>
      <c r="T190" s="6"/>
      <c r="U190" s="11"/>
    </row>
    <row r="191" spans="1:21">
      <c r="A191" s="10"/>
      <c r="B191" s="6"/>
      <c r="C191" s="6"/>
      <c r="D191" s="6"/>
      <c r="E191" s="6"/>
      <c r="F191" s="6"/>
      <c r="G191" s="6"/>
      <c r="H191" s="6"/>
      <c r="I191" s="16"/>
      <c r="J191" s="6"/>
      <c r="K191" s="6"/>
      <c r="L191" s="6"/>
      <c r="M191" s="6"/>
      <c r="N191" s="16"/>
      <c r="O191" s="16" t="str">
        <f t="shared" si="10"/>
        <v/>
      </c>
      <c r="P191" s="6"/>
      <c r="Q191" s="16"/>
      <c r="R191" s="16" t="str">
        <f t="shared" si="11"/>
        <v/>
      </c>
      <c r="S191" s="6"/>
      <c r="T191" s="6"/>
      <c r="U191" s="11"/>
    </row>
    <row r="192" spans="1:21">
      <c r="A192" s="10"/>
      <c r="B192" s="6"/>
      <c r="C192" s="6"/>
      <c r="D192" s="6"/>
      <c r="E192" s="6"/>
      <c r="F192" s="6"/>
      <c r="G192" s="6"/>
      <c r="H192" s="6"/>
      <c r="I192" s="16"/>
      <c r="J192" s="6"/>
      <c r="K192" s="6"/>
      <c r="L192" s="6"/>
      <c r="M192" s="6"/>
      <c r="N192" s="16"/>
      <c r="O192" s="16" t="str">
        <f t="shared" si="10"/>
        <v/>
      </c>
      <c r="P192" s="6"/>
      <c r="Q192" s="16"/>
      <c r="R192" s="16" t="str">
        <f t="shared" si="11"/>
        <v/>
      </c>
      <c r="S192" s="6"/>
      <c r="T192" s="6"/>
      <c r="U192" s="11"/>
    </row>
    <row r="193" spans="1:21">
      <c r="A193" s="10"/>
      <c r="B193" s="6"/>
      <c r="C193" s="6"/>
      <c r="D193" s="6"/>
      <c r="E193" s="6"/>
      <c r="F193" s="6"/>
      <c r="G193" s="6"/>
      <c r="H193" s="6"/>
      <c r="I193" s="16"/>
      <c r="J193" s="6"/>
      <c r="K193" s="6"/>
      <c r="L193" s="6"/>
      <c r="M193" s="6"/>
      <c r="N193" s="16"/>
      <c r="O193" s="16" t="str">
        <f t="shared" si="10"/>
        <v/>
      </c>
      <c r="P193" s="6"/>
      <c r="Q193" s="16"/>
      <c r="R193" s="16" t="str">
        <f t="shared" si="11"/>
        <v/>
      </c>
      <c r="S193" s="6"/>
      <c r="T193" s="6"/>
      <c r="U193" s="11"/>
    </row>
    <row r="194" spans="1:21">
      <c r="A194" s="10"/>
      <c r="B194" s="6"/>
      <c r="C194" s="6"/>
      <c r="D194" s="6"/>
      <c r="E194" s="6"/>
      <c r="F194" s="6"/>
      <c r="G194" s="6"/>
      <c r="H194" s="6"/>
      <c r="I194" s="16"/>
      <c r="J194" s="6"/>
      <c r="K194" s="6"/>
      <c r="L194" s="6"/>
      <c r="M194" s="6"/>
      <c r="N194" s="16"/>
      <c r="O194" s="16" t="str">
        <f t="shared" si="10"/>
        <v/>
      </c>
      <c r="P194" s="6"/>
      <c r="Q194" s="16"/>
      <c r="R194" s="16" t="str">
        <f t="shared" si="11"/>
        <v/>
      </c>
      <c r="S194" s="6"/>
      <c r="T194" s="6"/>
      <c r="U194" s="11"/>
    </row>
    <row r="195" spans="1:21">
      <c r="A195" s="10"/>
      <c r="B195" s="6"/>
      <c r="C195" s="6"/>
      <c r="D195" s="6"/>
      <c r="E195" s="6"/>
      <c r="F195" s="6"/>
      <c r="G195" s="6"/>
      <c r="H195" s="6"/>
      <c r="I195" s="16"/>
      <c r="J195" s="6"/>
      <c r="K195" s="6"/>
      <c r="L195" s="6"/>
      <c r="M195" s="6"/>
      <c r="N195" s="16"/>
      <c r="O195" s="16" t="str">
        <f t="shared" ref="O195:O226" si="12">IF(OR(N195="",M195=""),"",DATE(YEAR(N195),MONTH(N195)+M195,DAY(N195)))</f>
        <v/>
      </c>
      <c r="P195" s="6"/>
      <c r="Q195" s="16"/>
      <c r="R195" s="16" t="str">
        <f t="shared" ref="R195:R226" si="13">IF(OR(Q195="",P195=""),"",DATE(YEAR(Q195),MONTH(Q195)+P195,DAY(Q195)))</f>
        <v/>
      </c>
      <c r="S195" s="6"/>
      <c r="T195" s="6"/>
      <c r="U195" s="11"/>
    </row>
    <row r="196" spans="1:21">
      <c r="A196" s="10"/>
      <c r="B196" s="6"/>
      <c r="C196" s="6"/>
      <c r="D196" s="6"/>
      <c r="E196" s="6"/>
      <c r="F196" s="6"/>
      <c r="G196" s="6"/>
      <c r="H196" s="6"/>
      <c r="I196" s="16"/>
      <c r="J196" s="6"/>
      <c r="K196" s="6"/>
      <c r="L196" s="6"/>
      <c r="M196" s="6"/>
      <c r="N196" s="16"/>
      <c r="O196" s="16" t="str">
        <f t="shared" si="12"/>
        <v/>
      </c>
      <c r="P196" s="6"/>
      <c r="Q196" s="16"/>
      <c r="R196" s="16" t="str">
        <f t="shared" si="13"/>
        <v/>
      </c>
      <c r="S196" s="6"/>
      <c r="T196" s="6"/>
      <c r="U196" s="11"/>
    </row>
    <row r="197" spans="1:21">
      <c r="A197" s="10"/>
      <c r="B197" s="6"/>
      <c r="C197" s="6"/>
      <c r="D197" s="6"/>
      <c r="E197" s="6"/>
      <c r="F197" s="6"/>
      <c r="G197" s="6"/>
      <c r="H197" s="6"/>
      <c r="I197" s="16"/>
      <c r="J197" s="6"/>
      <c r="K197" s="6"/>
      <c r="L197" s="6"/>
      <c r="M197" s="6"/>
      <c r="N197" s="16"/>
      <c r="O197" s="16" t="str">
        <f t="shared" si="12"/>
        <v/>
      </c>
      <c r="P197" s="6"/>
      <c r="Q197" s="16"/>
      <c r="R197" s="16" t="str">
        <f t="shared" si="13"/>
        <v/>
      </c>
      <c r="S197" s="6"/>
      <c r="T197" s="6"/>
      <c r="U197" s="11"/>
    </row>
    <row r="198" spans="1:21">
      <c r="A198" s="10"/>
      <c r="B198" s="6"/>
      <c r="C198" s="6"/>
      <c r="D198" s="6"/>
      <c r="E198" s="6"/>
      <c r="F198" s="6"/>
      <c r="G198" s="6"/>
      <c r="H198" s="6"/>
      <c r="I198" s="16"/>
      <c r="J198" s="6"/>
      <c r="K198" s="6"/>
      <c r="L198" s="6"/>
      <c r="M198" s="6"/>
      <c r="N198" s="16"/>
      <c r="O198" s="16" t="str">
        <f t="shared" si="12"/>
        <v/>
      </c>
      <c r="P198" s="6"/>
      <c r="Q198" s="16"/>
      <c r="R198" s="16" t="str">
        <f t="shared" si="13"/>
        <v/>
      </c>
      <c r="S198" s="6"/>
      <c r="T198" s="6"/>
      <c r="U198" s="11"/>
    </row>
    <row r="199" spans="1:21">
      <c r="A199" s="10"/>
      <c r="B199" s="6"/>
      <c r="C199" s="6"/>
      <c r="D199" s="6"/>
      <c r="E199" s="6"/>
      <c r="F199" s="6"/>
      <c r="G199" s="6"/>
      <c r="H199" s="6"/>
      <c r="I199" s="16"/>
      <c r="J199" s="6"/>
      <c r="K199" s="6"/>
      <c r="L199" s="6"/>
      <c r="M199" s="6"/>
      <c r="N199" s="16"/>
      <c r="O199" s="16" t="str">
        <f t="shared" si="12"/>
        <v/>
      </c>
      <c r="P199" s="6"/>
      <c r="Q199" s="16"/>
      <c r="R199" s="16" t="str">
        <f t="shared" si="13"/>
        <v/>
      </c>
      <c r="S199" s="6"/>
      <c r="T199" s="6"/>
      <c r="U199" s="11"/>
    </row>
    <row r="200" spans="1:21">
      <c r="A200" s="10"/>
      <c r="B200" s="6"/>
      <c r="C200" s="6"/>
      <c r="D200" s="6"/>
      <c r="E200" s="6"/>
      <c r="F200" s="6"/>
      <c r="G200" s="6"/>
      <c r="H200" s="6"/>
      <c r="I200" s="16"/>
      <c r="J200" s="6"/>
      <c r="K200" s="6"/>
      <c r="L200" s="6"/>
      <c r="M200" s="6"/>
      <c r="N200" s="16"/>
      <c r="O200" s="16" t="str">
        <f t="shared" si="12"/>
        <v/>
      </c>
      <c r="P200" s="6"/>
      <c r="Q200" s="16"/>
      <c r="R200" s="16" t="str">
        <f t="shared" si="13"/>
        <v/>
      </c>
      <c r="S200" s="6"/>
      <c r="T200" s="6"/>
      <c r="U200" s="11"/>
    </row>
    <row r="201" spans="1:21">
      <c r="A201" s="10"/>
      <c r="B201" s="6"/>
      <c r="C201" s="6"/>
      <c r="D201" s="6"/>
      <c r="E201" s="6"/>
      <c r="F201" s="6"/>
      <c r="G201" s="6"/>
      <c r="H201" s="6"/>
      <c r="I201" s="16"/>
      <c r="J201" s="6"/>
      <c r="K201" s="6"/>
      <c r="L201" s="6"/>
      <c r="M201" s="6"/>
      <c r="N201" s="16"/>
      <c r="O201" s="16" t="str">
        <f t="shared" si="12"/>
        <v/>
      </c>
      <c r="P201" s="6"/>
      <c r="Q201" s="16"/>
      <c r="R201" s="16" t="str">
        <f t="shared" si="13"/>
        <v/>
      </c>
      <c r="S201" s="6"/>
      <c r="T201" s="6"/>
      <c r="U201" s="11"/>
    </row>
    <row r="202" spans="1:21">
      <c r="A202" s="12"/>
      <c r="B202" s="13"/>
      <c r="C202" s="13"/>
      <c r="D202" s="13"/>
      <c r="E202" s="13"/>
      <c r="F202" s="13"/>
      <c r="G202" s="13"/>
      <c r="H202" s="13"/>
      <c r="I202" s="17"/>
      <c r="J202" s="13"/>
      <c r="K202" s="13"/>
      <c r="L202" s="13"/>
      <c r="M202" s="13"/>
      <c r="N202" s="17"/>
      <c r="O202" s="17" t="str">
        <f t="shared" si="12"/>
        <v/>
      </c>
      <c r="P202" s="13"/>
      <c r="Q202" s="17"/>
      <c r="R202" s="17" t="str">
        <f t="shared" si="13"/>
        <v/>
      </c>
      <c r="S202" s="13"/>
      <c r="T202" s="13"/>
      <c r="U202" s="14"/>
    </row>
  </sheetData>
  <mergeCells count="1">
    <mergeCell ref="A1:U1"/>
  </mergeCells>
  <conditionalFormatting sqref="J3:J202">
    <cfRule type="expression" dxfId="8" priority="1">
      <formula>J3="Operational"</formula>
    </cfRule>
    <cfRule type="expression" dxfId="7" priority="2">
      <formula>OR(J3="Under Maintenance",J3="Calibration Due")</formula>
    </cfRule>
    <cfRule type="expression" dxfId="6" priority="3">
      <formula>J3="Out of Service"</formula>
    </cfRule>
  </conditionalFormatting>
  <conditionalFormatting sqref="O3:O202">
    <cfRule type="expression" dxfId="5" priority="4">
      <formula>AND(O3&lt;&gt;"",O3&lt;TODAY())</formula>
    </cfRule>
  </conditionalFormatting>
  <conditionalFormatting sqref="R3:R202">
    <cfRule type="expression" dxfId="4" priority="5">
      <formula>AND(R3&lt;&gt;"",R3&lt;TODAY())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300-000000000000}">
          <x14:formula1>
            <xm:f>Lists!$G$4:$G$12</xm:f>
          </x14:formula1>
          <xm:sqref>C3:C202</xm:sqref>
        </x14:dataValidation>
        <x14:dataValidation type="list" xr:uid="{00000000-0002-0000-0300-000001000000}">
          <x14:formula1>
            <xm:f>Lists!$D$4:$D$9</xm:f>
          </x14:formula1>
          <xm:sqref>J3:J202</xm:sqref>
        </x14:dataValidation>
        <x14:dataValidation type="list" xr:uid="{00000000-0002-0000-0300-000002000000}">
          <x14:formula1>
            <xm:f>Lists!$C$4:$C$5</xm:f>
          </x14:formula1>
          <xm:sqref>K3:L202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02"/>
  <sheetViews>
    <sheetView topLeftCell="V1" workbookViewId="0">
      <selection sqref="A1:M1"/>
    </sheetView>
  </sheetViews>
  <sheetFormatPr defaultRowHeight="13.5"/>
  <cols>
    <col min="1" max="1" width="14" customWidth="1"/>
    <col min="2" max="2" width="13" customWidth="1"/>
    <col min="3" max="3" width="14" customWidth="1"/>
    <col min="4" max="4" width="24" customWidth="1"/>
    <col min="5" max="5" width="20" customWidth="1"/>
    <col min="6" max="6" width="18" customWidth="1"/>
    <col min="7" max="7" width="20" customWidth="1"/>
    <col min="8" max="9" width="28" customWidth="1"/>
    <col min="10" max="10" width="24" customWidth="1"/>
    <col min="11" max="11" width="14" customWidth="1"/>
    <col min="12" max="12" width="24" customWidth="1"/>
    <col min="13" max="13" width="28" customWidth="1"/>
  </cols>
  <sheetData>
    <row r="1" spans="1:13" ht="15" customHeight="1">
      <c r="A1" s="39" t="s">
        <v>78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3" ht="27.75">
      <c r="A2" s="2" t="s">
        <v>79</v>
      </c>
      <c r="B2" s="3" t="s">
        <v>52</v>
      </c>
      <c r="C2" s="3" t="s">
        <v>59</v>
      </c>
      <c r="D2" s="3" t="s">
        <v>60</v>
      </c>
      <c r="E2" s="3" t="s">
        <v>80</v>
      </c>
      <c r="F2" s="3" t="s">
        <v>81</v>
      </c>
      <c r="G2" s="3" t="s">
        <v>82</v>
      </c>
      <c r="H2" s="3" t="s">
        <v>83</v>
      </c>
      <c r="I2" s="3" t="s">
        <v>84</v>
      </c>
      <c r="J2" s="3" t="s">
        <v>85</v>
      </c>
      <c r="K2" s="3" t="s">
        <v>86</v>
      </c>
      <c r="L2" s="3" t="s">
        <v>87</v>
      </c>
      <c r="M2" s="4" t="s">
        <v>49</v>
      </c>
    </row>
    <row r="3" spans="1:13">
      <c r="A3" s="7"/>
      <c r="B3" s="15"/>
      <c r="C3" s="8"/>
      <c r="D3" s="8" t="str">
        <f>IFERROR(VLOOKUP(C3,'Instrument Inventory'!$A$3:$U$202,2,FALSE),"")</f>
        <v/>
      </c>
      <c r="E3" s="8"/>
      <c r="F3" s="8"/>
      <c r="G3" s="8"/>
      <c r="H3" s="8"/>
      <c r="I3" s="8"/>
      <c r="J3" s="8"/>
      <c r="K3" s="15"/>
      <c r="L3" s="8"/>
      <c r="M3" s="9"/>
    </row>
    <row r="4" spans="1:13">
      <c r="A4" s="10"/>
      <c r="B4" s="16"/>
      <c r="C4" s="6"/>
      <c r="D4" s="6" t="str">
        <f>IFERROR(VLOOKUP(C4,'Instrument Inventory'!$A$3:$U$202,2,FALSE),"")</f>
        <v/>
      </c>
      <c r="E4" s="6"/>
      <c r="F4" s="6"/>
      <c r="G4" s="6"/>
      <c r="H4" s="6"/>
      <c r="I4" s="6"/>
      <c r="J4" s="6"/>
      <c r="K4" s="16"/>
      <c r="L4" s="6"/>
      <c r="M4" s="11"/>
    </row>
    <row r="5" spans="1:13">
      <c r="A5" s="10"/>
      <c r="B5" s="16"/>
      <c r="C5" s="6"/>
      <c r="D5" s="6" t="str">
        <f>IFERROR(VLOOKUP(C5,'Instrument Inventory'!$A$3:$U$202,2,FALSE),"")</f>
        <v/>
      </c>
      <c r="E5" s="6"/>
      <c r="F5" s="6"/>
      <c r="G5" s="6"/>
      <c r="H5" s="6"/>
      <c r="I5" s="6"/>
      <c r="J5" s="6"/>
      <c r="K5" s="16"/>
      <c r="L5" s="6"/>
      <c r="M5" s="11"/>
    </row>
    <row r="6" spans="1:13">
      <c r="A6" s="10"/>
      <c r="B6" s="16"/>
      <c r="C6" s="6"/>
      <c r="D6" s="6" t="str">
        <f>IFERROR(VLOOKUP(C6,'Instrument Inventory'!$A$3:$U$202,2,FALSE),"")</f>
        <v/>
      </c>
      <c r="E6" s="6"/>
      <c r="F6" s="6"/>
      <c r="G6" s="6"/>
      <c r="H6" s="6"/>
      <c r="I6" s="6"/>
      <c r="J6" s="6"/>
      <c r="K6" s="16"/>
      <c r="L6" s="6"/>
      <c r="M6" s="11"/>
    </row>
    <row r="7" spans="1:13">
      <c r="A7" s="10"/>
      <c r="B7" s="16"/>
      <c r="C7" s="6"/>
      <c r="D7" s="6" t="str">
        <f>IFERROR(VLOOKUP(C7,'Instrument Inventory'!$A$3:$U$202,2,FALSE),"")</f>
        <v/>
      </c>
      <c r="E7" s="6"/>
      <c r="F7" s="6"/>
      <c r="G7" s="6"/>
      <c r="H7" s="6"/>
      <c r="I7" s="6"/>
      <c r="J7" s="6"/>
      <c r="K7" s="16"/>
      <c r="L7" s="6"/>
      <c r="M7" s="11"/>
    </row>
    <row r="8" spans="1:13">
      <c r="A8" s="10"/>
      <c r="B8" s="16"/>
      <c r="C8" s="6"/>
      <c r="D8" s="6" t="str">
        <f>IFERROR(VLOOKUP(C8,'Instrument Inventory'!$A$3:$U$202,2,FALSE),"")</f>
        <v/>
      </c>
      <c r="E8" s="6"/>
      <c r="F8" s="6"/>
      <c r="G8" s="6"/>
      <c r="H8" s="6"/>
      <c r="I8" s="6"/>
      <c r="J8" s="6"/>
      <c r="K8" s="16"/>
      <c r="L8" s="6"/>
      <c r="M8" s="11"/>
    </row>
    <row r="9" spans="1:13">
      <c r="A9" s="10"/>
      <c r="B9" s="16"/>
      <c r="C9" s="6"/>
      <c r="D9" s="6" t="str">
        <f>IFERROR(VLOOKUP(C9,'Instrument Inventory'!$A$3:$U$202,2,FALSE),"")</f>
        <v/>
      </c>
      <c r="E9" s="6"/>
      <c r="F9" s="6"/>
      <c r="G9" s="6"/>
      <c r="H9" s="6"/>
      <c r="I9" s="6"/>
      <c r="J9" s="6"/>
      <c r="K9" s="16"/>
      <c r="L9" s="6"/>
      <c r="M9" s="11"/>
    </row>
    <row r="10" spans="1:13">
      <c r="A10" s="10"/>
      <c r="B10" s="16"/>
      <c r="C10" s="6"/>
      <c r="D10" s="6" t="str">
        <f>IFERROR(VLOOKUP(C10,'Instrument Inventory'!$A$3:$U$202,2,FALSE),"")</f>
        <v/>
      </c>
      <c r="E10" s="6"/>
      <c r="F10" s="6"/>
      <c r="G10" s="6"/>
      <c r="H10" s="6"/>
      <c r="I10" s="6"/>
      <c r="J10" s="6"/>
      <c r="K10" s="16"/>
      <c r="L10" s="6"/>
      <c r="M10" s="11"/>
    </row>
    <row r="11" spans="1:13">
      <c r="A11" s="10"/>
      <c r="B11" s="16"/>
      <c r="C11" s="6"/>
      <c r="D11" s="6" t="str">
        <f>IFERROR(VLOOKUP(C11,'Instrument Inventory'!$A$3:$U$202,2,FALSE),"")</f>
        <v/>
      </c>
      <c r="E11" s="6"/>
      <c r="F11" s="6"/>
      <c r="G11" s="6"/>
      <c r="H11" s="6"/>
      <c r="I11" s="6"/>
      <c r="J11" s="6"/>
      <c r="K11" s="16"/>
      <c r="L11" s="6"/>
      <c r="M11" s="11"/>
    </row>
    <row r="12" spans="1:13">
      <c r="A12" s="10"/>
      <c r="B12" s="16"/>
      <c r="C12" s="6"/>
      <c r="D12" s="6" t="str">
        <f>IFERROR(VLOOKUP(C12,'Instrument Inventory'!$A$3:$U$202,2,FALSE),"")</f>
        <v/>
      </c>
      <c r="E12" s="6"/>
      <c r="F12" s="6"/>
      <c r="G12" s="6"/>
      <c r="H12" s="6"/>
      <c r="I12" s="6"/>
      <c r="J12" s="6"/>
      <c r="K12" s="16"/>
      <c r="L12" s="6"/>
      <c r="M12" s="11"/>
    </row>
    <row r="13" spans="1:13">
      <c r="A13" s="10"/>
      <c r="B13" s="16"/>
      <c r="C13" s="6"/>
      <c r="D13" s="6" t="str">
        <f>IFERROR(VLOOKUP(C13,'Instrument Inventory'!$A$3:$U$202,2,FALSE),"")</f>
        <v/>
      </c>
      <c r="E13" s="6"/>
      <c r="F13" s="6"/>
      <c r="G13" s="6"/>
      <c r="H13" s="6"/>
      <c r="I13" s="6"/>
      <c r="J13" s="6"/>
      <c r="K13" s="16"/>
      <c r="L13" s="6"/>
      <c r="M13" s="11"/>
    </row>
    <row r="14" spans="1:13">
      <c r="A14" s="10"/>
      <c r="B14" s="16"/>
      <c r="C14" s="6"/>
      <c r="D14" s="6" t="str">
        <f>IFERROR(VLOOKUP(C14,'Instrument Inventory'!$A$3:$U$202,2,FALSE),"")</f>
        <v/>
      </c>
      <c r="E14" s="6"/>
      <c r="F14" s="6"/>
      <c r="G14" s="6"/>
      <c r="H14" s="6"/>
      <c r="I14" s="6"/>
      <c r="J14" s="6"/>
      <c r="K14" s="16"/>
      <c r="L14" s="6"/>
      <c r="M14" s="11"/>
    </row>
    <row r="15" spans="1:13">
      <c r="A15" s="10"/>
      <c r="B15" s="16"/>
      <c r="C15" s="6"/>
      <c r="D15" s="6" t="str">
        <f>IFERROR(VLOOKUP(C15,'Instrument Inventory'!$A$3:$U$202,2,FALSE),"")</f>
        <v/>
      </c>
      <c r="E15" s="6"/>
      <c r="F15" s="6"/>
      <c r="G15" s="6"/>
      <c r="H15" s="6"/>
      <c r="I15" s="6"/>
      <c r="J15" s="6"/>
      <c r="K15" s="16"/>
      <c r="L15" s="6"/>
      <c r="M15" s="11"/>
    </row>
    <row r="16" spans="1:13">
      <c r="A16" s="10"/>
      <c r="B16" s="16"/>
      <c r="C16" s="6"/>
      <c r="D16" s="6" t="str">
        <f>IFERROR(VLOOKUP(C16,'Instrument Inventory'!$A$3:$U$202,2,FALSE),"")</f>
        <v/>
      </c>
      <c r="E16" s="6"/>
      <c r="F16" s="6"/>
      <c r="G16" s="6"/>
      <c r="H16" s="6"/>
      <c r="I16" s="6"/>
      <c r="J16" s="6"/>
      <c r="K16" s="16"/>
      <c r="L16" s="6"/>
      <c r="M16" s="11"/>
    </row>
    <row r="17" spans="1:13">
      <c r="A17" s="10"/>
      <c r="B17" s="16"/>
      <c r="C17" s="6"/>
      <c r="D17" s="6" t="str">
        <f>IFERROR(VLOOKUP(C17,'Instrument Inventory'!$A$3:$U$202,2,FALSE),"")</f>
        <v/>
      </c>
      <c r="E17" s="6"/>
      <c r="F17" s="6"/>
      <c r="G17" s="6"/>
      <c r="H17" s="6"/>
      <c r="I17" s="6"/>
      <c r="J17" s="6"/>
      <c r="K17" s="16"/>
      <c r="L17" s="6"/>
      <c r="M17" s="11"/>
    </row>
    <row r="18" spans="1:13">
      <c r="A18" s="10"/>
      <c r="B18" s="16"/>
      <c r="C18" s="6"/>
      <c r="D18" s="6" t="str">
        <f>IFERROR(VLOOKUP(C18,'Instrument Inventory'!$A$3:$U$202,2,FALSE),"")</f>
        <v/>
      </c>
      <c r="E18" s="6"/>
      <c r="F18" s="6"/>
      <c r="G18" s="6"/>
      <c r="H18" s="6"/>
      <c r="I18" s="6"/>
      <c r="J18" s="6"/>
      <c r="K18" s="16"/>
      <c r="L18" s="6"/>
      <c r="M18" s="11"/>
    </row>
    <row r="19" spans="1:13">
      <c r="A19" s="10"/>
      <c r="B19" s="16"/>
      <c r="C19" s="6"/>
      <c r="D19" s="6" t="str">
        <f>IFERROR(VLOOKUP(C19,'Instrument Inventory'!$A$3:$U$202,2,FALSE),"")</f>
        <v/>
      </c>
      <c r="E19" s="6"/>
      <c r="F19" s="6"/>
      <c r="G19" s="6"/>
      <c r="H19" s="6"/>
      <c r="I19" s="6"/>
      <c r="J19" s="6"/>
      <c r="K19" s="16"/>
      <c r="L19" s="6"/>
      <c r="M19" s="11"/>
    </row>
    <row r="20" spans="1:13">
      <c r="A20" s="10"/>
      <c r="B20" s="16"/>
      <c r="C20" s="6"/>
      <c r="D20" s="6" t="str">
        <f>IFERROR(VLOOKUP(C20,'Instrument Inventory'!$A$3:$U$202,2,FALSE),"")</f>
        <v/>
      </c>
      <c r="E20" s="6"/>
      <c r="F20" s="6"/>
      <c r="G20" s="6"/>
      <c r="H20" s="6"/>
      <c r="I20" s="6"/>
      <c r="J20" s="6"/>
      <c r="K20" s="16"/>
      <c r="L20" s="6"/>
      <c r="M20" s="11"/>
    </row>
    <row r="21" spans="1:13">
      <c r="A21" s="10"/>
      <c r="B21" s="16"/>
      <c r="C21" s="6"/>
      <c r="D21" s="6" t="str">
        <f>IFERROR(VLOOKUP(C21,'Instrument Inventory'!$A$3:$U$202,2,FALSE),"")</f>
        <v/>
      </c>
      <c r="E21" s="6"/>
      <c r="F21" s="6"/>
      <c r="G21" s="6"/>
      <c r="H21" s="6"/>
      <c r="I21" s="6"/>
      <c r="J21" s="6"/>
      <c r="K21" s="16"/>
      <c r="L21" s="6"/>
      <c r="M21" s="11"/>
    </row>
    <row r="22" spans="1:13">
      <c r="A22" s="10"/>
      <c r="B22" s="16"/>
      <c r="C22" s="6"/>
      <c r="D22" s="6" t="str">
        <f>IFERROR(VLOOKUP(C22,'Instrument Inventory'!$A$3:$U$202,2,FALSE),"")</f>
        <v/>
      </c>
      <c r="E22" s="6"/>
      <c r="F22" s="6"/>
      <c r="G22" s="6"/>
      <c r="H22" s="6"/>
      <c r="I22" s="6"/>
      <c r="J22" s="6"/>
      <c r="K22" s="16"/>
      <c r="L22" s="6"/>
      <c r="M22" s="11"/>
    </row>
    <row r="23" spans="1:13">
      <c r="A23" s="10"/>
      <c r="B23" s="16"/>
      <c r="C23" s="6"/>
      <c r="D23" s="6" t="str">
        <f>IFERROR(VLOOKUP(C23,'Instrument Inventory'!$A$3:$U$202,2,FALSE),"")</f>
        <v/>
      </c>
      <c r="E23" s="6"/>
      <c r="F23" s="6"/>
      <c r="G23" s="6"/>
      <c r="H23" s="6"/>
      <c r="I23" s="6"/>
      <c r="J23" s="6"/>
      <c r="K23" s="16"/>
      <c r="L23" s="6"/>
      <c r="M23" s="11"/>
    </row>
    <row r="24" spans="1:13">
      <c r="A24" s="10"/>
      <c r="B24" s="16"/>
      <c r="C24" s="6"/>
      <c r="D24" s="6" t="str">
        <f>IFERROR(VLOOKUP(C24,'Instrument Inventory'!$A$3:$U$202,2,FALSE),"")</f>
        <v/>
      </c>
      <c r="E24" s="6"/>
      <c r="F24" s="6"/>
      <c r="G24" s="6"/>
      <c r="H24" s="6"/>
      <c r="I24" s="6"/>
      <c r="J24" s="6"/>
      <c r="K24" s="16"/>
      <c r="L24" s="6"/>
      <c r="M24" s="11"/>
    </row>
    <row r="25" spans="1:13">
      <c r="A25" s="10"/>
      <c r="B25" s="16"/>
      <c r="C25" s="6"/>
      <c r="D25" s="6" t="str">
        <f>IFERROR(VLOOKUP(C25,'Instrument Inventory'!$A$3:$U$202,2,FALSE),"")</f>
        <v/>
      </c>
      <c r="E25" s="6"/>
      <c r="F25" s="6"/>
      <c r="G25" s="6"/>
      <c r="H25" s="6"/>
      <c r="I25" s="6"/>
      <c r="J25" s="6"/>
      <c r="K25" s="16"/>
      <c r="L25" s="6"/>
      <c r="M25" s="11"/>
    </row>
    <row r="26" spans="1:13">
      <c r="A26" s="10"/>
      <c r="B26" s="16"/>
      <c r="C26" s="6"/>
      <c r="D26" s="6" t="str">
        <f>IFERROR(VLOOKUP(C26,'Instrument Inventory'!$A$3:$U$202,2,FALSE),"")</f>
        <v/>
      </c>
      <c r="E26" s="6"/>
      <c r="F26" s="6"/>
      <c r="G26" s="6"/>
      <c r="H26" s="6"/>
      <c r="I26" s="6"/>
      <c r="J26" s="6"/>
      <c r="K26" s="16"/>
      <c r="L26" s="6"/>
      <c r="M26" s="11"/>
    </row>
    <row r="27" spans="1:13">
      <c r="A27" s="10"/>
      <c r="B27" s="16"/>
      <c r="C27" s="6"/>
      <c r="D27" s="6" t="str">
        <f>IFERROR(VLOOKUP(C27,'Instrument Inventory'!$A$3:$U$202,2,FALSE),"")</f>
        <v/>
      </c>
      <c r="E27" s="6"/>
      <c r="F27" s="6"/>
      <c r="G27" s="6"/>
      <c r="H27" s="6"/>
      <c r="I27" s="6"/>
      <c r="J27" s="6"/>
      <c r="K27" s="16"/>
      <c r="L27" s="6"/>
      <c r="M27" s="11"/>
    </row>
    <row r="28" spans="1:13">
      <c r="A28" s="10"/>
      <c r="B28" s="16"/>
      <c r="C28" s="6"/>
      <c r="D28" s="6" t="str">
        <f>IFERROR(VLOOKUP(C28,'Instrument Inventory'!$A$3:$U$202,2,FALSE),"")</f>
        <v/>
      </c>
      <c r="E28" s="6"/>
      <c r="F28" s="6"/>
      <c r="G28" s="6"/>
      <c r="H28" s="6"/>
      <c r="I28" s="6"/>
      <c r="J28" s="6"/>
      <c r="K28" s="16"/>
      <c r="L28" s="6"/>
      <c r="M28" s="11"/>
    </row>
    <row r="29" spans="1:13">
      <c r="A29" s="10"/>
      <c r="B29" s="16"/>
      <c r="C29" s="6"/>
      <c r="D29" s="6" t="str">
        <f>IFERROR(VLOOKUP(C29,'Instrument Inventory'!$A$3:$U$202,2,FALSE),"")</f>
        <v/>
      </c>
      <c r="E29" s="6"/>
      <c r="F29" s="6"/>
      <c r="G29" s="6"/>
      <c r="H29" s="6"/>
      <c r="I29" s="6"/>
      <c r="J29" s="6"/>
      <c r="K29" s="16"/>
      <c r="L29" s="6"/>
      <c r="M29" s="11"/>
    </row>
    <row r="30" spans="1:13">
      <c r="A30" s="10"/>
      <c r="B30" s="16"/>
      <c r="C30" s="6"/>
      <c r="D30" s="6" t="str">
        <f>IFERROR(VLOOKUP(C30,'Instrument Inventory'!$A$3:$U$202,2,FALSE),"")</f>
        <v/>
      </c>
      <c r="E30" s="6"/>
      <c r="F30" s="6"/>
      <c r="G30" s="6"/>
      <c r="H30" s="6"/>
      <c r="I30" s="6"/>
      <c r="J30" s="6"/>
      <c r="K30" s="16"/>
      <c r="L30" s="6"/>
      <c r="M30" s="11"/>
    </row>
    <row r="31" spans="1:13">
      <c r="A31" s="10"/>
      <c r="B31" s="16"/>
      <c r="C31" s="6"/>
      <c r="D31" s="6" t="str">
        <f>IFERROR(VLOOKUP(C31,'Instrument Inventory'!$A$3:$U$202,2,FALSE),"")</f>
        <v/>
      </c>
      <c r="E31" s="6"/>
      <c r="F31" s="6"/>
      <c r="G31" s="6"/>
      <c r="H31" s="6"/>
      <c r="I31" s="6"/>
      <c r="J31" s="6"/>
      <c r="K31" s="16"/>
      <c r="L31" s="6"/>
      <c r="M31" s="11"/>
    </row>
    <row r="32" spans="1:13">
      <c r="A32" s="10"/>
      <c r="B32" s="16"/>
      <c r="C32" s="6"/>
      <c r="D32" s="6" t="str">
        <f>IFERROR(VLOOKUP(C32,'Instrument Inventory'!$A$3:$U$202,2,FALSE),"")</f>
        <v/>
      </c>
      <c r="E32" s="6"/>
      <c r="F32" s="6"/>
      <c r="G32" s="6"/>
      <c r="H32" s="6"/>
      <c r="I32" s="6"/>
      <c r="J32" s="6"/>
      <c r="K32" s="16"/>
      <c r="L32" s="6"/>
      <c r="M32" s="11"/>
    </row>
    <row r="33" spans="1:13">
      <c r="A33" s="10"/>
      <c r="B33" s="16"/>
      <c r="C33" s="6"/>
      <c r="D33" s="6" t="str">
        <f>IFERROR(VLOOKUP(C33,'Instrument Inventory'!$A$3:$U$202,2,FALSE),"")</f>
        <v/>
      </c>
      <c r="E33" s="6"/>
      <c r="F33" s="6"/>
      <c r="G33" s="6"/>
      <c r="H33" s="6"/>
      <c r="I33" s="6"/>
      <c r="J33" s="6"/>
      <c r="K33" s="16"/>
      <c r="L33" s="6"/>
      <c r="M33" s="11"/>
    </row>
    <row r="34" spans="1:13">
      <c r="A34" s="10"/>
      <c r="B34" s="16"/>
      <c r="C34" s="6"/>
      <c r="D34" s="6" t="str">
        <f>IFERROR(VLOOKUP(C34,'Instrument Inventory'!$A$3:$U$202,2,FALSE),"")</f>
        <v/>
      </c>
      <c r="E34" s="6"/>
      <c r="F34" s="6"/>
      <c r="G34" s="6"/>
      <c r="H34" s="6"/>
      <c r="I34" s="6"/>
      <c r="J34" s="6"/>
      <c r="K34" s="16"/>
      <c r="L34" s="6"/>
      <c r="M34" s="11"/>
    </row>
    <row r="35" spans="1:13">
      <c r="A35" s="10"/>
      <c r="B35" s="16"/>
      <c r="C35" s="6"/>
      <c r="D35" s="6" t="str">
        <f>IFERROR(VLOOKUP(C35,'Instrument Inventory'!$A$3:$U$202,2,FALSE),"")</f>
        <v/>
      </c>
      <c r="E35" s="6"/>
      <c r="F35" s="6"/>
      <c r="G35" s="6"/>
      <c r="H35" s="6"/>
      <c r="I35" s="6"/>
      <c r="J35" s="6"/>
      <c r="K35" s="16"/>
      <c r="L35" s="6"/>
      <c r="M35" s="11"/>
    </row>
    <row r="36" spans="1:13">
      <c r="A36" s="10"/>
      <c r="B36" s="16"/>
      <c r="C36" s="6"/>
      <c r="D36" s="6" t="str">
        <f>IFERROR(VLOOKUP(C36,'Instrument Inventory'!$A$3:$U$202,2,FALSE),"")</f>
        <v/>
      </c>
      <c r="E36" s="6"/>
      <c r="F36" s="6"/>
      <c r="G36" s="6"/>
      <c r="H36" s="6"/>
      <c r="I36" s="6"/>
      <c r="J36" s="6"/>
      <c r="K36" s="16"/>
      <c r="L36" s="6"/>
      <c r="M36" s="11"/>
    </row>
    <row r="37" spans="1:13">
      <c r="A37" s="10"/>
      <c r="B37" s="16"/>
      <c r="C37" s="6"/>
      <c r="D37" s="6" t="str">
        <f>IFERROR(VLOOKUP(C37,'Instrument Inventory'!$A$3:$U$202,2,FALSE),"")</f>
        <v/>
      </c>
      <c r="E37" s="6"/>
      <c r="F37" s="6"/>
      <c r="G37" s="6"/>
      <c r="H37" s="6"/>
      <c r="I37" s="6"/>
      <c r="J37" s="6"/>
      <c r="K37" s="16"/>
      <c r="L37" s="6"/>
      <c r="M37" s="11"/>
    </row>
    <row r="38" spans="1:13">
      <c r="A38" s="10"/>
      <c r="B38" s="16"/>
      <c r="C38" s="6"/>
      <c r="D38" s="6" t="str">
        <f>IFERROR(VLOOKUP(C38,'Instrument Inventory'!$A$3:$U$202,2,FALSE),"")</f>
        <v/>
      </c>
      <c r="E38" s="6"/>
      <c r="F38" s="6"/>
      <c r="G38" s="6"/>
      <c r="H38" s="6"/>
      <c r="I38" s="6"/>
      <c r="J38" s="6"/>
      <c r="K38" s="16"/>
      <c r="L38" s="6"/>
      <c r="M38" s="11"/>
    </row>
    <row r="39" spans="1:13">
      <c r="A39" s="10"/>
      <c r="B39" s="16"/>
      <c r="C39" s="6"/>
      <c r="D39" s="6" t="str">
        <f>IFERROR(VLOOKUP(C39,'Instrument Inventory'!$A$3:$U$202,2,FALSE),"")</f>
        <v/>
      </c>
      <c r="E39" s="6"/>
      <c r="F39" s="6"/>
      <c r="G39" s="6"/>
      <c r="H39" s="6"/>
      <c r="I39" s="6"/>
      <c r="J39" s="6"/>
      <c r="K39" s="16"/>
      <c r="L39" s="6"/>
      <c r="M39" s="11"/>
    </row>
    <row r="40" spans="1:13">
      <c r="A40" s="10"/>
      <c r="B40" s="16"/>
      <c r="C40" s="6"/>
      <c r="D40" s="6" t="str">
        <f>IFERROR(VLOOKUP(C40,'Instrument Inventory'!$A$3:$U$202,2,FALSE),"")</f>
        <v/>
      </c>
      <c r="E40" s="6"/>
      <c r="F40" s="6"/>
      <c r="G40" s="6"/>
      <c r="H40" s="6"/>
      <c r="I40" s="6"/>
      <c r="J40" s="6"/>
      <c r="K40" s="16"/>
      <c r="L40" s="6"/>
      <c r="M40" s="11"/>
    </row>
    <row r="41" spans="1:13">
      <c r="A41" s="10"/>
      <c r="B41" s="16"/>
      <c r="C41" s="6"/>
      <c r="D41" s="6" t="str">
        <f>IFERROR(VLOOKUP(C41,'Instrument Inventory'!$A$3:$U$202,2,FALSE),"")</f>
        <v/>
      </c>
      <c r="E41" s="6"/>
      <c r="F41" s="6"/>
      <c r="G41" s="6"/>
      <c r="H41" s="6"/>
      <c r="I41" s="6"/>
      <c r="J41" s="6"/>
      <c r="K41" s="16"/>
      <c r="L41" s="6"/>
      <c r="M41" s="11"/>
    </row>
    <row r="42" spans="1:13">
      <c r="A42" s="10"/>
      <c r="B42" s="16"/>
      <c r="C42" s="6"/>
      <c r="D42" s="6" t="str">
        <f>IFERROR(VLOOKUP(C42,'Instrument Inventory'!$A$3:$U$202,2,FALSE),"")</f>
        <v/>
      </c>
      <c r="E42" s="6"/>
      <c r="F42" s="6"/>
      <c r="G42" s="6"/>
      <c r="H42" s="6"/>
      <c r="I42" s="6"/>
      <c r="J42" s="6"/>
      <c r="K42" s="16"/>
      <c r="L42" s="6"/>
      <c r="M42" s="11"/>
    </row>
    <row r="43" spans="1:13">
      <c r="A43" s="10"/>
      <c r="B43" s="16"/>
      <c r="C43" s="6"/>
      <c r="D43" s="6" t="str">
        <f>IFERROR(VLOOKUP(C43,'Instrument Inventory'!$A$3:$U$202,2,FALSE),"")</f>
        <v/>
      </c>
      <c r="E43" s="6"/>
      <c r="F43" s="6"/>
      <c r="G43" s="6"/>
      <c r="H43" s="6"/>
      <c r="I43" s="6"/>
      <c r="J43" s="6"/>
      <c r="K43" s="16"/>
      <c r="L43" s="6"/>
      <c r="M43" s="11"/>
    </row>
    <row r="44" spans="1:13">
      <c r="A44" s="10"/>
      <c r="B44" s="16"/>
      <c r="C44" s="6"/>
      <c r="D44" s="6" t="str">
        <f>IFERROR(VLOOKUP(C44,'Instrument Inventory'!$A$3:$U$202,2,FALSE),"")</f>
        <v/>
      </c>
      <c r="E44" s="6"/>
      <c r="F44" s="6"/>
      <c r="G44" s="6"/>
      <c r="H44" s="6"/>
      <c r="I44" s="6"/>
      <c r="J44" s="6"/>
      <c r="K44" s="16"/>
      <c r="L44" s="6"/>
      <c r="M44" s="11"/>
    </row>
    <row r="45" spans="1:13">
      <c r="A45" s="10"/>
      <c r="B45" s="16"/>
      <c r="C45" s="6"/>
      <c r="D45" s="6" t="str">
        <f>IFERROR(VLOOKUP(C45,'Instrument Inventory'!$A$3:$U$202,2,FALSE),"")</f>
        <v/>
      </c>
      <c r="E45" s="6"/>
      <c r="F45" s="6"/>
      <c r="G45" s="6"/>
      <c r="H45" s="6"/>
      <c r="I45" s="6"/>
      <c r="J45" s="6"/>
      <c r="K45" s="16"/>
      <c r="L45" s="6"/>
      <c r="M45" s="11"/>
    </row>
    <row r="46" spans="1:13">
      <c r="A46" s="10"/>
      <c r="B46" s="16"/>
      <c r="C46" s="6"/>
      <c r="D46" s="6" t="str">
        <f>IFERROR(VLOOKUP(C46,'Instrument Inventory'!$A$3:$U$202,2,FALSE),"")</f>
        <v/>
      </c>
      <c r="E46" s="6"/>
      <c r="F46" s="6"/>
      <c r="G46" s="6"/>
      <c r="H46" s="6"/>
      <c r="I46" s="6"/>
      <c r="J46" s="6"/>
      <c r="K46" s="16"/>
      <c r="L46" s="6"/>
      <c r="M46" s="11"/>
    </row>
    <row r="47" spans="1:13">
      <c r="A47" s="10"/>
      <c r="B47" s="16"/>
      <c r="C47" s="6"/>
      <c r="D47" s="6" t="str">
        <f>IFERROR(VLOOKUP(C47,'Instrument Inventory'!$A$3:$U$202,2,FALSE),"")</f>
        <v/>
      </c>
      <c r="E47" s="6"/>
      <c r="F47" s="6"/>
      <c r="G47" s="6"/>
      <c r="H47" s="6"/>
      <c r="I47" s="6"/>
      <c r="J47" s="6"/>
      <c r="K47" s="16"/>
      <c r="L47" s="6"/>
      <c r="M47" s="11"/>
    </row>
    <row r="48" spans="1:13">
      <c r="A48" s="10"/>
      <c r="B48" s="16"/>
      <c r="C48" s="6"/>
      <c r="D48" s="6" t="str">
        <f>IFERROR(VLOOKUP(C48,'Instrument Inventory'!$A$3:$U$202,2,FALSE),"")</f>
        <v/>
      </c>
      <c r="E48" s="6"/>
      <c r="F48" s="6"/>
      <c r="G48" s="6"/>
      <c r="H48" s="6"/>
      <c r="I48" s="6"/>
      <c r="J48" s="6"/>
      <c r="K48" s="16"/>
      <c r="L48" s="6"/>
      <c r="M48" s="11"/>
    </row>
    <row r="49" spans="1:13">
      <c r="A49" s="10"/>
      <c r="B49" s="16"/>
      <c r="C49" s="6"/>
      <c r="D49" s="6" t="str">
        <f>IFERROR(VLOOKUP(C49,'Instrument Inventory'!$A$3:$U$202,2,FALSE),"")</f>
        <v/>
      </c>
      <c r="E49" s="6"/>
      <c r="F49" s="6"/>
      <c r="G49" s="6"/>
      <c r="H49" s="6"/>
      <c r="I49" s="6"/>
      <c r="J49" s="6"/>
      <c r="K49" s="16"/>
      <c r="L49" s="6"/>
      <c r="M49" s="11"/>
    </row>
    <row r="50" spans="1:13">
      <c r="A50" s="10"/>
      <c r="B50" s="16"/>
      <c r="C50" s="6"/>
      <c r="D50" s="6" t="str">
        <f>IFERROR(VLOOKUP(C50,'Instrument Inventory'!$A$3:$U$202,2,FALSE),"")</f>
        <v/>
      </c>
      <c r="E50" s="6"/>
      <c r="F50" s="6"/>
      <c r="G50" s="6"/>
      <c r="H50" s="6"/>
      <c r="I50" s="6"/>
      <c r="J50" s="6"/>
      <c r="K50" s="16"/>
      <c r="L50" s="6"/>
      <c r="M50" s="11"/>
    </row>
    <row r="51" spans="1:13">
      <c r="A51" s="10"/>
      <c r="B51" s="16"/>
      <c r="C51" s="6"/>
      <c r="D51" s="6" t="str">
        <f>IFERROR(VLOOKUP(C51,'Instrument Inventory'!$A$3:$U$202,2,FALSE),"")</f>
        <v/>
      </c>
      <c r="E51" s="6"/>
      <c r="F51" s="6"/>
      <c r="G51" s="6"/>
      <c r="H51" s="6"/>
      <c r="I51" s="6"/>
      <c r="J51" s="6"/>
      <c r="K51" s="16"/>
      <c r="L51" s="6"/>
      <c r="M51" s="11"/>
    </row>
    <row r="52" spans="1:13">
      <c r="A52" s="10"/>
      <c r="B52" s="16"/>
      <c r="C52" s="6"/>
      <c r="D52" s="6" t="str">
        <f>IFERROR(VLOOKUP(C52,'Instrument Inventory'!$A$3:$U$202,2,FALSE),"")</f>
        <v/>
      </c>
      <c r="E52" s="6"/>
      <c r="F52" s="6"/>
      <c r="G52" s="6"/>
      <c r="H52" s="6"/>
      <c r="I52" s="6"/>
      <c r="J52" s="6"/>
      <c r="K52" s="16"/>
      <c r="L52" s="6"/>
      <c r="M52" s="11"/>
    </row>
    <row r="53" spans="1:13">
      <c r="A53" s="10"/>
      <c r="B53" s="16"/>
      <c r="C53" s="6"/>
      <c r="D53" s="6" t="str">
        <f>IFERROR(VLOOKUP(C53,'Instrument Inventory'!$A$3:$U$202,2,FALSE),"")</f>
        <v/>
      </c>
      <c r="E53" s="6"/>
      <c r="F53" s="6"/>
      <c r="G53" s="6"/>
      <c r="H53" s="6"/>
      <c r="I53" s="6"/>
      <c r="J53" s="6"/>
      <c r="K53" s="16"/>
      <c r="L53" s="6"/>
      <c r="M53" s="11"/>
    </row>
    <row r="54" spans="1:13">
      <c r="A54" s="10"/>
      <c r="B54" s="16"/>
      <c r="C54" s="6"/>
      <c r="D54" s="6" t="str">
        <f>IFERROR(VLOOKUP(C54,'Instrument Inventory'!$A$3:$U$202,2,FALSE),"")</f>
        <v/>
      </c>
      <c r="E54" s="6"/>
      <c r="F54" s="6"/>
      <c r="G54" s="6"/>
      <c r="H54" s="6"/>
      <c r="I54" s="6"/>
      <c r="J54" s="6"/>
      <c r="K54" s="16"/>
      <c r="L54" s="6"/>
      <c r="M54" s="11"/>
    </row>
    <row r="55" spans="1:13">
      <c r="A55" s="10"/>
      <c r="B55" s="16"/>
      <c r="C55" s="6"/>
      <c r="D55" s="6" t="str">
        <f>IFERROR(VLOOKUP(C55,'Instrument Inventory'!$A$3:$U$202,2,FALSE),"")</f>
        <v/>
      </c>
      <c r="E55" s="6"/>
      <c r="F55" s="6"/>
      <c r="G55" s="6"/>
      <c r="H55" s="6"/>
      <c r="I55" s="6"/>
      <c r="J55" s="6"/>
      <c r="K55" s="16"/>
      <c r="L55" s="6"/>
      <c r="M55" s="11"/>
    </row>
    <row r="56" spans="1:13">
      <c r="A56" s="10"/>
      <c r="B56" s="16"/>
      <c r="C56" s="6"/>
      <c r="D56" s="6" t="str">
        <f>IFERROR(VLOOKUP(C56,'Instrument Inventory'!$A$3:$U$202,2,FALSE),"")</f>
        <v/>
      </c>
      <c r="E56" s="6"/>
      <c r="F56" s="6"/>
      <c r="G56" s="6"/>
      <c r="H56" s="6"/>
      <c r="I56" s="6"/>
      <c r="J56" s="6"/>
      <c r="K56" s="16"/>
      <c r="L56" s="6"/>
      <c r="M56" s="11"/>
    </row>
    <row r="57" spans="1:13">
      <c r="A57" s="10"/>
      <c r="B57" s="16"/>
      <c r="C57" s="6"/>
      <c r="D57" s="6" t="str">
        <f>IFERROR(VLOOKUP(C57,'Instrument Inventory'!$A$3:$U$202,2,FALSE),"")</f>
        <v/>
      </c>
      <c r="E57" s="6"/>
      <c r="F57" s="6"/>
      <c r="G57" s="6"/>
      <c r="H57" s="6"/>
      <c r="I57" s="6"/>
      <c r="J57" s="6"/>
      <c r="K57" s="16"/>
      <c r="L57" s="6"/>
      <c r="M57" s="11"/>
    </row>
    <row r="58" spans="1:13">
      <c r="A58" s="10"/>
      <c r="B58" s="16"/>
      <c r="C58" s="6"/>
      <c r="D58" s="6" t="str">
        <f>IFERROR(VLOOKUP(C58,'Instrument Inventory'!$A$3:$U$202,2,FALSE),"")</f>
        <v/>
      </c>
      <c r="E58" s="6"/>
      <c r="F58" s="6"/>
      <c r="G58" s="6"/>
      <c r="H58" s="6"/>
      <c r="I58" s="6"/>
      <c r="J58" s="6"/>
      <c r="K58" s="16"/>
      <c r="L58" s="6"/>
      <c r="M58" s="11"/>
    </row>
    <row r="59" spans="1:13">
      <c r="A59" s="10"/>
      <c r="B59" s="16"/>
      <c r="C59" s="6"/>
      <c r="D59" s="6" t="str">
        <f>IFERROR(VLOOKUP(C59,'Instrument Inventory'!$A$3:$U$202,2,FALSE),"")</f>
        <v/>
      </c>
      <c r="E59" s="6"/>
      <c r="F59" s="6"/>
      <c r="G59" s="6"/>
      <c r="H59" s="6"/>
      <c r="I59" s="6"/>
      <c r="J59" s="6"/>
      <c r="K59" s="16"/>
      <c r="L59" s="6"/>
      <c r="M59" s="11"/>
    </row>
    <row r="60" spans="1:13">
      <c r="A60" s="10"/>
      <c r="B60" s="16"/>
      <c r="C60" s="6"/>
      <c r="D60" s="6" t="str">
        <f>IFERROR(VLOOKUP(C60,'Instrument Inventory'!$A$3:$U$202,2,FALSE),"")</f>
        <v/>
      </c>
      <c r="E60" s="6"/>
      <c r="F60" s="6"/>
      <c r="G60" s="6"/>
      <c r="H60" s="6"/>
      <c r="I60" s="6"/>
      <c r="J60" s="6"/>
      <c r="K60" s="16"/>
      <c r="L60" s="6"/>
      <c r="M60" s="11"/>
    </row>
    <row r="61" spans="1:13">
      <c r="A61" s="10"/>
      <c r="B61" s="16"/>
      <c r="C61" s="6"/>
      <c r="D61" s="6" t="str">
        <f>IFERROR(VLOOKUP(C61,'Instrument Inventory'!$A$3:$U$202,2,FALSE),"")</f>
        <v/>
      </c>
      <c r="E61" s="6"/>
      <c r="F61" s="6"/>
      <c r="G61" s="6"/>
      <c r="H61" s="6"/>
      <c r="I61" s="6"/>
      <c r="J61" s="6"/>
      <c r="K61" s="16"/>
      <c r="L61" s="6"/>
      <c r="M61" s="11"/>
    </row>
    <row r="62" spans="1:13">
      <c r="A62" s="10"/>
      <c r="B62" s="16"/>
      <c r="C62" s="6"/>
      <c r="D62" s="6" t="str">
        <f>IFERROR(VLOOKUP(C62,'Instrument Inventory'!$A$3:$U$202,2,FALSE),"")</f>
        <v/>
      </c>
      <c r="E62" s="6"/>
      <c r="F62" s="6"/>
      <c r="G62" s="6"/>
      <c r="H62" s="6"/>
      <c r="I62" s="6"/>
      <c r="J62" s="6"/>
      <c r="K62" s="16"/>
      <c r="L62" s="6"/>
      <c r="M62" s="11"/>
    </row>
    <row r="63" spans="1:13">
      <c r="A63" s="10"/>
      <c r="B63" s="16"/>
      <c r="C63" s="6"/>
      <c r="D63" s="6" t="str">
        <f>IFERROR(VLOOKUP(C63,'Instrument Inventory'!$A$3:$U$202,2,FALSE),"")</f>
        <v/>
      </c>
      <c r="E63" s="6"/>
      <c r="F63" s="6"/>
      <c r="G63" s="6"/>
      <c r="H63" s="6"/>
      <c r="I63" s="6"/>
      <c r="J63" s="6"/>
      <c r="K63" s="16"/>
      <c r="L63" s="6"/>
      <c r="M63" s="11"/>
    </row>
    <row r="64" spans="1:13">
      <c r="A64" s="10"/>
      <c r="B64" s="16"/>
      <c r="C64" s="6"/>
      <c r="D64" s="6" t="str">
        <f>IFERROR(VLOOKUP(C64,'Instrument Inventory'!$A$3:$U$202,2,FALSE),"")</f>
        <v/>
      </c>
      <c r="E64" s="6"/>
      <c r="F64" s="6"/>
      <c r="G64" s="6"/>
      <c r="H64" s="6"/>
      <c r="I64" s="6"/>
      <c r="J64" s="6"/>
      <c r="K64" s="16"/>
      <c r="L64" s="6"/>
      <c r="M64" s="11"/>
    </row>
    <row r="65" spans="1:13">
      <c r="A65" s="10"/>
      <c r="B65" s="16"/>
      <c r="C65" s="6"/>
      <c r="D65" s="6" t="str">
        <f>IFERROR(VLOOKUP(C65,'Instrument Inventory'!$A$3:$U$202,2,FALSE),"")</f>
        <v/>
      </c>
      <c r="E65" s="6"/>
      <c r="F65" s="6"/>
      <c r="G65" s="6"/>
      <c r="H65" s="6"/>
      <c r="I65" s="6"/>
      <c r="J65" s="6"/>
      <c r="K65" s="16"/>
      <c r="L65" s="6"/>
      <c r="M65" s="11"/>
    </row>
    <row r="66" spans="1:13">
      <c r="A66" s="10"/>
      <c r="B66" s="16"/>
      <c r="C66" s="6"/>
      <c r="D66" s="6" t="str">
        <f>IFERROR(VLOOKUP(C66,'Instrument Inventory'!$A$3:$U$202,2,FALSE),"")</f>
        <v/>
      </c>
      <c r="E66" s="6"/>
      <c r="F66" s="6"/>
      <c r="G66" s="6"/>
      <c r="H66" s="6"/>
      <c r="I66" s="6"/>
      <c r="J66" s="6"/>
      <c r="K66" s="16"/>
      <c r="L66" s="6"/>
      <c r="M66" s="11"/>
    </row>
    <row r="67" spans="1:13">
      <c r="A67" s="10"/>
      <c r="B67" s="16"/>
      <c r="C67" s="6"/>
      <c r="D67" s="6" t="str">
        <f>IFERROR(VLOOKUP(C67,'Instrument Inventory'!$A$3:$U$202,2,FALSE),"")</f>
        <v/>
      </c>
      <c r="E67" s="6"/>
      <c r="F67" s="6"/>
      <c r="G67" s="6"/>
      <c r="H67" s="6"/>
      <c r="I67" s="6"/>
      <c r="J67" s="6"/>
      <c r="K67" s="16"/>
      <c r="L67" s="6"/>
      <c r="M67" s="11"/>
    </row>
    <row r="68" spans="1:13">
      <c r="A68" s="10"/>
      <c r="B68" s="16"/>
      <c r="C68" s="6"/>
      <c r="D68" s="6" t="str">
        <f>IFERROR(VLOOKUP(C68,'Instrument Inventory'!$A$3:$U$202,2,FALSE),"")</f>
        <v/>
      </c>
      <c r="E68" s="6"/>
      <c r="F68" s="6"/>
      <c r="G68" s="6"/>
      <c r="H68" s="6"/>
      <c r="I68" s="6"/>
      <c r="J68" s="6"/>
      <c r="K68" s="16"/>
      <c r="L68" s="6"/>
      <c r="M68" s="11"/>
    </row>
    <row r="69" spans="1:13">
      <c r="A69" s="10"/>
      <c r="B69" s="16"/>
      <c r="C69" s="6"/>
      <c r="D69" s="6" t="str">
        <f>IFERROR(VLOOKUP(C69,'Instrument Inventory'!$A$3:$U$202,2,FALSE),"")</f>
        <v/>
      </c>
      <c r="E69" s="6"/>
      <c r="F69" s="6"/>
      <c r="G69" s="6"/>
      <c r="H69" s="6"/>
      <c r="I69" s="6"/>
      <c r="J69" s="6"/>
      <c r="K69" s="16"/>
      <c r="L69" s="6"/>
      <c r="M69" s="11"/>
    </row>
    <row r="70" spans="1:13">
      <c r="A70" s="10"/>
      <c r="B70" s="16"/>
      <c r="C70" s="6"/>
      <c r="D70" s="6" t="str">
        <f>IFERROR(VLOOKUP(C70,'Instrument Inventory'!$A$3:$U$202,2,FALSE),"")</f>
        <v/>
      </c>
      <c r="E70" s="6"/>
      <c r="F70" s="6"/>
      <c r="G70" s="6"/>
      <c r="H70" s="6"/>
      <c r="I70" s="6"/>
      <c r="J70" s="6"/>
      <c r="K70" s="16"/>
      <c r="L70" s="6"/>
      <c r="M70" s="11"/>
    </row>
    <row r="71" spans="1:13">
      <c r="A71" s="10"/>
      <c r="B71" s="16"/>
      <c r="C71" s="6"/>
      <c r="D71" s="6" t="str">
        <f>IFERROR(VLOOKUP(C71,'Instrument Inventory'!$A$3:$U$202,2,FALSE),"")</f>
        <v/>
      </c>
      <c r="E71" s="6"/>
      <c r="F71" s="6"/>
      <c r="G71" s="6"/>
      <c r="H71" s="6"/>
      <c r="I71" s="6"/>
      <c r="J71" s="6"/>
      <c r="K71" s="16"/>
      <c r="L71" s="6"/>
      <c r="M71" s="11"/>
    </row>
    <row r="72" spans="1:13">
      <c r="A72" s="10"/>
      <c r="B72" s="16"/>
      <c r="C72" s="6"/>
      <c r="D72" s="6" t="str">
        <f>IFERROR(VLOOKUP(C72,'Instrument Inventory'!$A$3:$U$202,2,FALSE),"")</f>
        <v/>
      </c>
      <c r="E72" s="6"/>
      <c r="F72" s="6"/>
      <c r="G72" s="6"/>
      <c r="H72" s="6"/>
      <c r="I72" s="6"/>
      <c r="J72" s="6"/>
      <c r="K72" s="16"/>
      <c r="L72" s="6"/>
      <c r="M72" s="11"/>
    </row>
    <row r="73" spans="1:13">
      <c r="A73" s="10"/>
      <c r="B73" s="16"/>
      <c r="C73" s="6"/>
      <c r="D73" s="6" t="str">
        <f>IFERROR(VLOOKUP(C73,'Instrument Inventory'!$A$3:$U$202,2,FALSE),"")</f>
        <v/>
      </c>
      <c r="E73" s="6"/>
      <c r="F73" s="6"/>
      <c r="G73" s="6"/>
      <c r="H73" s="6"/>
      <c r="I73" s="6"/>
      <c r="J73" s="6"/>
      <c r="K73" s="16"/>
      <c r="L73" s="6"/>
      <c r="M73" s="11"/>
    </row>
    <row r="74" spans="1:13">
      <c r="A74" s="10"/>
      <c r="B74" s="16"/>
      <c r="C74" s="6"/>
      <c r="D74" s="6" t="str">
        <f>IFERROR(VLOOKUP(C74,'Instrument Inventory'!$A$3:$U$202,2,FALSE),"")</f>
        <v/>
      </c>
      <c r="E74" s="6"/>
      <c r="F74" s="6"/>
      <c r="G74" s="6"/>
      <c r="H74" s="6"/>
      <c r="I74" s="6"/>
      <c r="J74" s="6"/>
      <c r="K74" s="16"/>
      <c r="L74" s="6"/>
      <c r="M74" s="11"/>
    </row>
    <row r="75" spans="1:13">
      <c r="A75" s="10"/>
      <c r="B75" s="16"/>
      <c r="C75" s="6"/>
      <c r="D75" s="6" t="str">
        <f>IFERROR(VLOOKUP(C75,'Instrument Inventory'!$A$3:$U$202,2,FALSE),"")</f>
        <v/>
      </c>
      <c r="E75" s="6"/>
      <c r="F75" s="6"/>
      <c r="G75" s="6"/>
      <c r="H75" s="6"/>
      <c r="I75" s="6"/>
      <c r="J75" s="6"/>
      <c r="K75" s="16"/>
      <c r="L75" s="6"/>
      <c r="M75" s="11"/>
    </row>
    <row r="76" spans="1:13">
      <c r="A76" s="10"/>
      <c r="B76" s="16"/>
      <c r="C76" s="6"/>
      <c r="D76" s="6" t="str">
        <f>IFERROR(VLOOKUP(C76,'Instrument Inventory'!$A$3:$U$202,2,FALSE),"")</f>
        <v/>
      </c>
      <c r="E76" s="6"/>
      <c r="F76" s="6"/>
      <c r="G76" s="6"/>
      <c r="H76" s="6"/>
      <c r="I76" s="6"/>
      <c r="J76" s="6"/>
      <c r="K76" s="16"/>
      <c r="L76" s="6"/>
      <c r="M76" s="11"/>
    </row>
    <row r="77" spans="1:13">
      <c r="A77" s="10"/>
      <c r="B77" s="16"/>
      <c r="C77" s="6"/>
      <c r="D77" s="6" t="str">
        <f>IFERROR(VLOOKUP(C77,'Instrument Inventory'!$A$3:$U$202,2,FALSE),"")</f>
        <v/>
      </c>
      <c r="E77" s="6"/>
      <c r="F77" s="6"/>
      <c r="G77" s="6"/>
      <c r="H77" s="6"/>
      <c r="I77" s="6"/>
      <c r="J77" s="6"/>
      <c r="K77" s="16"/>
      <c r="L77" s="6"/>
      <c r="M77" s="11"/>
    </row>
    <row r="78" spans="1:13">
      <c r="A78" s="10"/>
      <c r="B78" s="16"/>
      <c r="C78" s="6"/>
      <c r="D78" s="6" t="str">
        <f>IFERROR(VLOOKUP(C78,'Instrument Inventory'!$A$3:$U$202,2,FALSE),"")</f>
        <v/>
      </c>
      <c r="E78" s="6"/>
      <c r="F78" s="6"/>
      <c r="G78" s="6"/>
      <c r="H78" s="6"/>
      <c r="I78" s="6"/>
      <c r="J78" s="6"/>
      <c r="K78" s="16"/>
      <c r="L78" s="6"/>
      <c r="M78" s="11"/>
    </row>
    <row r="79" spans="1:13">
      <c r="A79" s="10"/>
      <c r="B79" s="16"/>
      <c r="C79" s="6"/>
      <c r="D79" s="6" t="str">
        <f>IFERROR(VLOOKUP(C79,'Instrument Inventory'!$A$3:$U$202,2,FALSE),"")</f>
        <v/>
      </c>
      <c r="E79" s="6"/>
      <c r="F79" s="6"/>
      <c r="G79" s="6"/>
      <c r="H79" s="6"/>
      <c r="I79" s="6"/>
      <c r="J79" s="6"/>
      <c r="K79" s="16"/>
      <c r="L79" s="6"/>
      <c r="M79" s="11"/>
    </row>
    <row r="80" spans="1:13">
      <c r="A80" s="10"/>
      <c r="B80" s="16"/>
      <c r="C80" s="6"/>
      <c r="D80" s="6" t="str">
        <f>IFERROR(VLOOKUP(C80,'Instrument Inventory'!$A$3:$U$202,2,FALSE),"")</f>
        <v/>
      </c>
      <c r="E80" s="6"/>
      <c r="F80" s="6"/>
      <c r="G80" s="6"/>
      <c r="H80" s="6"/>
      <c r="I80" s="6"/>
      <c r="J80" s="6"/>
      <c r="K80" s="16"/>
      <c r="L80" s="6"/>
      <c r="M80" s="11"/>
    </row>
    <row r="81" spans="1:13">
      <c r="A81" s="10"/>
      <c r="B81" s="16"/>
      <c r="C81" s="6"/>
      <c r="D81" s="6" t="str">
        <f>IFERROR(VLOOKUP(C81,'Instrument Inventory'!$A$3:$U$202,2,FALSE),"")</f>
        <v/>
      </c>
      <c r="E81" s="6"/>
      <c r="F81" s="6"/>
      <c r="G81" s="6"/>
      <c r="H81" s="6"/>
      <c r="I81" s="6"/>
      <c r="J81" s="6"/>
      <c r="K81" s="16"/>
      <c r="L81" s="6"/>
      <c r="M81" s="11"/>
    </row>
    <row r="82" spans="1:13">
      <c r="A82" s="10"/>
      <c r="B82" s="16"/>
      <c r="C82" s="6"/>
      <c r="D82" s="6" t="str">
        <f>IFERROR(VLOOKUP(C82,'Instrument Inventory'!$A$3:$U$202,2,FALSE),"")</f>
        <v/>
      </c>
      <c r="E82" s="6"/>
      <c r="F82" s="6"/>
      <c r="G82" s="6"/>
      <c r="H82" s="6"/>
      <c r="I82" s="6"/>
      <c r="J82" s="6"/>
      <c r="K82" s="16"/>
      <c r="L82" s="6"/>
      <c r="M82" s="11"/>
    </row>
    <row r="83" spans="1:13">
      <c r="A83" s="10"/>
      <c r="B83" s="16"/>
      <c r="C83" s="6"/>
      <c r="D83" s="6" t="str">
        <f>IFERROR(VLOOKUP(C83,'Instrument Inventory'!$A$3:$U$202,2,FALSE),"")</f>
        <v/>
      </c>
      <c r="E83" s="6"/>
      <c r="F83" s="6"/>
      <c r="G83" s="6"/>
      <c r="H83" s="6"/>
      <c r="I83" s="6"/>
      <c r="J83" s="6"/>
      <c r="K83" s="16"/>
      <c r="L83" s="6"/>
      <c r="M83" s="11"/>
    </row>
    <row r="84" spans="1:13">
      <c r="A84" s="10"/>
      <c r="B84" s="16"/>
      <c r="C84" s="6"/>
      <c r="D84" s="6" t="str">
        <f>IFERROR(VLOOKUP(C84,'Instrument Inventory'!$A$3:$U$202,2,FALSE),"")</f>
        <v/>
      </c>
      <c r="E84" s="6"/>
      <c r="F84" s="6"/>
      <c r="G84" s="6"/>
      <c r="H84" s="6"/>
      <c r="I84" s="6"/>
      <c r="J84" s="6"/>
      <c r="K84" s="16"/>
      <c r="L84" s="6"/>
      <c r="M84" s="11"/>
    </row>
    <row r="85" spans="1:13">
      <c r="A85" s="10"/>
      <c r="B85" s="16"/>
      <c r="C85" s="6"/>
      <c r="D85" s="6" t="str">
        <f>IFERROR(VLOOKUP(C85,'Instrument Inventory'!$A$3:$U$202,2,FALSE),"")</f>
        <v/>
      </c>
      <c r="E85" s="6"/>
      <c r="F85" s="6"/>
      <c r="G85" s="6"/>
      <c r="H85" s="6"/>
      <c r="I85" s="6"/>
      <c r="J85" s="6"/>
      <c r="K85" s="16"/>
      <c r="L85" s="6"/>
      <c r="M85" s="11"/>
    </row>
    <row r="86" spans="1:13">
      <c r="A86" s="10"/>
      <c r="B86" s="16"/>
      <c r="C86" s="6"/>
      <c r="D86" s="6" t="str">
        <f>IFERROR(VLOOKUP(C86,'Instrument Inventory'!$A$3:$U$202,2,FALSE),"")</f>
        <v/>
      </c>
      <c r="E86" s="6"/>
      <c r="F86" s="6"/>
      <c r="G86" s="6"/>
      <c r="H86" s="6"/>
      <c r="I86" s="6"/>
      <c r="J86" s="6"/>
      <c r="K86" s="16"/>
      <c r="L86" s="6"/>
      <c r="M86" s="11"/>
    </row>
    <row r="87" spans="1:13">
      <c r="A87" s="10"/>
      <c r="B87" s="16"/>
      <c r="C87" s="6"/>
      <c r="D87" s="6" t="str">
        <f>IFERROR(VLOOKUP(C87,'Instrument Inventory'!$A$3:$U$202,2,FALSE),"")</f>
        <v/>
      </c>
      <c r="E87" s="6"/>
      <c r="F87" s="6"/>
      <c r="G87" s="6"/>
      <c r="H87" s="6"/>
      <c r="I87" s="6"/>
      <c r="J87" s="6"/>
      <c r="K87" s="16"/>
      <c r="L87" s="6"/>
      <c r="M87" s="11"/>
    </row>
    <row r="88" spans="1:13">
      <c r="A88" s="10"/>
      <c r="B88" s="16"/>
      <c r="C88" s="6"/>
      <c r="D88" s="6" t="str">
        <f>IFERROR(VLOOKUP(C88,'Instrument Inventory'!$A$3:$U$202,2,FALSE),"")</f>
        <v/>
      </c>
      <c r="E88" s="6"/>
      <c r="F88" s="6"/>
      <c r="G88" s="6"/>
      <c r="H88" s="6"/>
      <c r="I88" s="6"/>
      <c r="J88" s="6"/>
      <c r="K88" s="16"/>
      <c r="L88" s="6"/>
      <c r="M88" s="11"/>
    </row>
    <row r="89" spans="1:13">
      <c r="A89" s="10"/>
      <c r="B89" s="16"/>
      <c r="C89" s="6"/>
      <c r="D89" s="6" t="str">
        <f>IFERROR(VLOOKUP(C89,'Instrument Inventory'!$A$3:$U$202,2,FALSE),"")</f>
        <v/>
      </c>
      <c r="E89" s="6"/>
      <c r="F89" s="6"/>
      <c r="G89" s="6"/>
      <c r="H89" s="6"/>
      <c r="I89" s="6"/>
      <c r="J89" s="6"/>
      <c r="K89" s="16"/>
      <c r="L89" s="6"/>
      <c r="M89" s="11"/>
    </row>
    <row r="90" spans="1:13">
      <c r="A90" s="10"/>
      <c r="B90" s="16"/>
      <c r="C90" s="6"/>
      <c r="D90" s="6" t="str">
        <f>IFERROR(VLOOKUP(C90,'Instrument Inventory'!$A$3:$U$202,2,FALSE),"")</f>
        <v/>
      </c>
      <c r="E90" s="6"/>
      <c r="F90" s="6"/>
      <c r="G90" s="6"/>
      <c r="H90" s="6"/>
      <c r="I90" s="6"/>
      <c r="J90" s="6"/>
      <c r="K90" s="16"/>
      <c r="L90" s="6"/>
      <c r="M90" s="11"/>
    </row>
    <row r="91" spans="1:13">
      <c r="A91" s="10"/>
      <c r="B91" s="16"/>
      <c r="C91" s="6"/>
      <c r="D91" s="6" t="str">
        <f>IFERROR(VLOOKUP(C91,'Instrument Inventory'!$A$3:$U$202,2,FALSE),"")</f>
        <v/>
      </c>
      <c r="E91" s="6"/>
      <c r="F91" s="6"/>
      <c r="G91" s="6"/>
      <c r="H91" s="6"/>
      <c r="I91" s="6"/>
      <c r="J91" s="6"/>
      <c r="K91" s="16"/>
      <c r="L91" s="6"/>
      <c r="M91" s="11"/>
    </row>
    <row r="92" spans="1:13">
      <c r="A92" s="10"/>
      <c r="B92" s="16"/>
      <c r="C92" s="6"/>
      <c r="D92" s="6" t="str">
        <f>IFERROR(VLOOKUP(C92,'Instrument Inventory'!$A$3:$U$202,2,FALSE),"")</f>
        <v/>
      </c>
      <c r="E92" s="6"/>
      <c r="F92" s="6"/>
      <c r="G92" s="6"/>
      <c r="H92" s="6"/>
      <c r="I92" s="6"/>
      <c r="J92" s="6"/>
      <c r="K92" s="16"/>
      <c r="L92" s="6"/>
      <c r="M92" s="11"/>
    </row>
    <row r="93" spans="1:13">
      <c r="A93" s="10"/>
      <c r="B93" s="16"/>
      <c r="C93" s="6"/>
      <c r="D93" s="6" t="str">
        <f>IFERROR(VLOOKUP(C93,'Instrument Inventory'!$A$3:$U$202,2,FALSE),"")</f>
        <v/>
      </c>
      <c r="E93" s="6"/>
      <c r="F93" s="6"/>
      <c r="G93" s="6"/>
      <c r="H93" s="6"/>
      <c r="I93" s="6"/>
      <c r="J93" s="6"/>
      <c r="K93" s="16"/>
      <c r="L93" s="6"/>
      <c r="M93" s="11"/>
    </row>
    <row r="94" spans="1:13">
      <c r="A94" s="10"/>
      <c r="B94" s="16"/>
      <c r="C94" s="6"/>
      <c r="D94" s="6" t="str">
        <f>IFERROR(VLOOKUP(C94,'Instrument Inventory'!$A$3:$U$202,2,FALSE),"")</f>
        <v/>
      </c>
      <c r="E94" s="6"/>
      <c r="F94" s="6"/>
      <c r="G94" s="6"/>
      <c r="H94" s="6"/>
      <c r="I94" s="6"/>
      <c r="J94" s="6"/>
      <c r="K94" s="16"/>
      <c r="L94" s="6"/>
      <c r="M94" s="11"/>
    </row>
    <row r="95" spans="1:13">
      <c r="A95" s="10"/>
      <c r="B95" s="16"/>
      <c r="C95" s="6"/>
      <c r="D95" s="6" t="str">
        <f>IFERROR(VLOOKUP(C95,'Instrument Inventory'!$A$3:$U$202,2,FALSE),"")</f>
        <v/>
      </c>
      <c r="E95" s="6"/>
      <c r="F95" s="6"/>
      <c r="G95" s="6"/>
      <c r="H95" s="6"/>
      <c r="I95" s="6"/>
      <c r="J95" s="6"/>
      <c r="K95" s="16"/>
      <c r="L95" s="6"/>
      <c r="M95" s="11"/>
    </row>
    <row r="96" spans="1:13">
      <c r="A96" s="10"/>
      <c r="B96" s="16"/>
      <c r="C96" s="6"/>
      <c r="D96" s="6" t="str">
        <f>IFERROR(VLOOKUP(C96,'Instrument Inventory'!$A$3:$U$202,2,FALSE),"")</f>
        <v/>
      </c>
      <c r="E96" s="6"/>
      <c r="F96" s="6"/>
      <c r="G96" s="6"/>
      <c r="H96" s="6"/>
      <c r="I96" s="6"/>
      <c r="J96" s="6"/>
      <c r="K96" s="16"/>
      <c r="L96" s="6"/>
      <c r="M96" s="11"/>
    </row>
    <row r="97" spans="1:13">
      <c r="A97" s="10"/>
      <c r="B97" s="16"/>
      <c r="C97" s="6"/>
      <c r="D97" s="6" t="str">
        <f>IFERROR(VLOOKUP(C97,'Instrument Inventory'!$A$3:$U$202,2,FALSE),"")</f>
        <v/>
      </c>
      <c r="E97" s="6"/>
      <c r="F97" s="6"/>
      <c r="G97" s="6"/>
      <c r="H97" s="6"/>
      <c r="I97" s="6"/>
      <c r="J97" s="6"/>
      <c r="K97" s="16"/>
      <c r="L97" s="6"/>
      <c r="M97" s="11"/>
    </row>
    <row r="98" spans="1:13">
      <c r="A98" s="10"/>
      <c r="B98" s="16"/>
      <c r="C98" s="6"/>
      <c r="D98" s="6" t="str">
        <f>IFERROR(VLOOKUP(C98,'Instrument Inventory'!$A$3:$U$202,2,FALSE),"")</f>
        <v/>
      </c>
      <c r="E98" s="6"/>
      <c r="F98" s="6"/>
      <c r="G98" s="6"/>
      <c r="H98" s="6"/>
      <c r="I98" s="6"/>
      <c r="J98" s="6"/>
      <c r="K98" s="16"/>
      <c r="L98" s="6"/>
      <c r="M98" s="11"/>
    </row>
    <row r="99" spans="1:13">
      <c r="A99" s="10"/>
      <c r="B99" s="16"/>
      <c r="C99" s="6"/>
      <c r="D99" s="6" t="str">
        <f>IFERROR(VLOOKUP(C99,'Instrument Inventory'!$A$3:$U$202,2,FALSE),"")</f>
        <v/>
      </c>
      <c r="E99" s="6"/>
      <c r="F99" s="6"/>
      <c r="G99" s="6"/>
      <c r="H99" s="6"/>
      <c r="I99" s="6"/>
      <c r="J99" s="6"/>
      <c r="K99" s="16"/>
      <c r="L99" s="6"/>
      <c r="M99" s="11"/>
    </row>
    <row r="100" spans="1:13">
      <c r="A100" s="10"/>
      <c r="B100" s="16"/>
      <c r="C100" s="6"/>
      <c r="D100" s="6" t="str">
        <f>IFERROR(VLOOKUP(C100,'Instrument Inventory'!$A$3:$U$202,2,FALSE),"")</f>
        <v/>
      </c>
      <c r="E100" s="6"/>
      <c r="F100" s="6"/>
      <c r="G100" s="6"/>
      <c r="H100" s="6"/>
      <c r="I100" s="6"/>
      <c r="J100" s="6"/>
      <c r="K100" s="16"/>
      <c r="L100" s="6"/>
      <c r="M100" s="11"/>
    </row>
    <row r="101" spans="1:13">
      <c r="A101" s="10"/>
      <c r="B101" s="16"/>
      <c r="C101" s="6"/>
      <c r="D101" s="6" t="str">
        <f>IFERROR(VLOOKUP(C101,'Instrument Inventory'!$A$3:$U$202,2,FALSE),"")</f>
        <v/>
      </c>
      <c r="E101" s="6"/>
      <c r="F101" s="6"/>
      <c r="G101" s="6"/>
      <c r="H101" s="6"/>
      <c r="I101" s="6"/>
      <c r="J101" s="6"/>
      <c r="K101" s="16"/>
      <c r="L101" s="6"/>
      <c r="M101" s="11"/>
    </row>
    <row r="102" spans="1:13">
      <c r="A102" s="10"/>
      <c r="B102" s="16"/>
      <c r="C102" s="6"/>
      <c r="D102" s="6" t="str">
        <f>IFERROR(VLOOKUP(C102,'Instrument Inventory'!$A$3:$U$202,2,FALSE),"")</f>
        <v/>
      </c>
      <c r="E102" s="6"/>
      <c r="F102" s="6"/>
      <c r="G102" s="6"/>
      <c r="H102" s="6"/>
      <c r="I102" s="6"/>
      <c r="J102" s="6"/>
      <c r="K102" s="16"/>
      <c r="L102" s="6"/>
      <c r="M102" s="11"/>
    </row>
    <row r="103" spans="1:13">
      <c r="A103" s="10"/>
      <c r="B103" s="16"/>
      <c r="C103" s="6"/>
      <c r="D103" s="6" t="str">
        <f>IFERROR(VLOOKUP(C103,'Instrument Inventory'!$A$3:$U$202,2,FALSE),"")</f>
        <v/>
      </c>
      <c r="E103" s="6"/>
      <c r="F103" s="6"/>
      <c r="G103" s="6"/>
      <c r="H103" s="6"/>
      <c r="I103" s="6"/>
      <c r="J103" s="6"/>
      <c r="K103" s="16"/>
      <c r="L103" s="6"/>
      <c r="M103" s="11"/>
    </row>
    <row r="104" spans="1:13">
      <c r="A104" s="10"/>
      <c r="B104" s="16"/>
      <c r="C104" s="6"/>
      <c r="D104" s="6" t="str">
        <f>IFERROR(VLOOKUP(C104,'Instrument Inventory'!$A$3:$U$202,2,FALSE),"")</f>
        <v/>
      </c>
      <c r="E104" s="6"/>
      <c r="F104" s="6"/>
      <c r="G104" s="6"/>
      <c r="H104" s="6"/>
      <c r="I104" s="6"/>
      <c r="J104" s="6"/>
      <c r="K104" s="16"/>
      <c r="L104" s="6"/>
      <c r="M104" s="11"/>
    </row>
    <row r="105" spans="1:13">
      <c r="A105" s="10"/>
      <c r="B105" s="16"/>
      <c r="C105" s="6"/>
      <c r="D105" s="6" t="str">
        <f>IFERROR(VLOOKUP(C105,'Instrument Inventory'!$A$3:$U$202,2,FALSE),"")</f>
        <v/>
      </c>
      <c r="E105" s="6"/>
      <c r="F105" s="6"/>
      <c r="G105" s="6"/>
      <c r="H105" s="6"/>
      <c r="I105" s="6"/>
      <c r="J105" s="6"/>
      <c r="K105" s="16"/>
      <c r="L105" s="6"/>
      <c r="M105" s="11"/>
    </row>
    <row r="106" spans="1:13">
      <c r="A106" s="10"/>
      <c r="B106" s="16"/>
      <c r="C106" s="6"/>
      <c r="D106" s="6" t="str">
        <f>IFERROR(VLOOKUP(C106,'Instrument Inventory'!$A$3:$U$202,2,FALSE),"")</f>
        <v/>
      </c>
      <c r="E106" s="6"/>
      <c r="F106" s="6"/>
      <c r="G106" s="6"/>
      <c r="H106" s="6"/>
      <c r="I106" s="6"/>
      <c r="J106" s="6"/>
      <c r="K106" s="16"/>
      <c r="L106" s="6"/>
      <c r="M106" s="11"/>
    </row>
    <row r="107" spans="1:13">
      <c r="A107" s="10"/>
      <c r="B107" s="16"/>
      <c r="C107" s="6"/>
      <c r="D107" s="6" t="str">
        <f>IFERROR(VLOOKUP(C107,'Instrument Inventory'!$A$3:$U$202,2,FALSE),"")</f>
        <v/>
      </c>
      <c r="E107" s="6"/>
      <c r="F107" s="6"/>
      <c r="G107" s="6"/>
      <c r="H107" s="6"/>
      <c r="I107" s="6"/>
      <c r="J107" s="6"/>
      <c r="K107" s="16"/>
      <c r="L107" s="6"/>
      <c r="M107" s="11"/>
    </row>
    <row r="108" spans="1:13">
      <c r="A108" s="10"/>
      <c r="B108" s="16"/>
      <c r="C108" s="6"/>
      <c r="D108" s="6" t="str">
        <f>IFERROR(VLOOKUP(C108,'Instrument Inventory'!$A$3:$U$202,2,FALSE),"")</f>
        <v/>
      </c>
      <c r="E108" s="6"/>
      <c r="F108" s="6"/>
      <c r="G108" s="6"/>
      <c r="H108" s="6"/>
      <c r="I108" s="6"/>
      <c r="J108" s="6"/>
      <c r="K108" s="16"/>
      <c r="L108" s="6"/>
      <c r="M108" s="11"/>
    </row>
    <row r="109" spans="1:13">
      <c r="A109" s="10"/>
      <c r="B109" s="16"/>
      <c r="C109" s="6"/>
      <c r="D109" s="6" t="str">
        <f>IFERROR(VLOOKUP(C109,'Instrument Inventory'!$A$3:$U$202,2,FALSE),"")</f>
        <v/>
      </c>
      <c r="E109" s="6"/>
      <c r="F109" s="6"/>
      <c r="G109" s="6"/>
      <c r="H109" s="6"/>
      <c r="I109" s="6"/>
      <c r="J109" s="6"/>
      <c r="K109" s="16"/>
      <c r="L109" s="6"/>
      <c r="M109" s="11"/>
    </row>
    <row r="110" spans="1:13">
      <c r="A110" s="10"/>
      <c r="B110" s="16"/>
      <c r="C110" s="6"/>
      <c r="D110" s="6" t="str">
        <f>IFERROR(VLOOKUP(C110,'Instrument Inventory'!$A$3:$U$202,2,FALSE),"")</f>
        <v/>
      </c>
      <c r="E110" s="6"/>
      <c r="F110" s="6"/>
      <c r="G110" s="6"/>
      <c r="H110" s="6"/>
      <c r="I110" s="6"/>
      <c r="J110" s="6"/>
      <c r="K110" s="16"/>
      <c r="L110" s="6"/>
      <c r="M110" s="11"/>
    </row>
    <row r="111" spans="1:13">
      <c r="A111" s="10"/>
      <c r="B111" s="16"/>
      <c r="C111" s="6"/>
      <c r="D111" s="6" t="str">
        <f>IFERROR(VLOOKUP(C111,'Instrument Inventory'!$A$3:$U$202,2,FALSE),"")</f>
        <v/>
      </c>
      <c r="E111" s="6"/>
      <c r="F111" s="6"/>
      <c r="G111" s="6"/>
      <c r="H111" s="6"/>
      <c r="I111" s="6"/>
      <c r="J111" s="6"/>
      <c r="K111" s="16"/>
      <c r="L111" s="6"/>
      <c r="M111" s="11"/>
    </row>
    <row r="112" spans="1:13">
      <c r="A112" s="10"/>
      <c r="B112" s="16"/>
      <c r="C112" s="6"/>
      <c r="D112" s="6" t="str">
        <f>IFERROR(VLOOKUP(C112,'Instrument Inventory'!$A$3:$U$202,2,FALSE),"")</f>
        <v/>
      </c>
      <c r="E112" s="6"/>
      <c r="F112" s="6"/>
      <c r="G112" s="6"/>
      <c r="H112" s="6"/>
      <c r="I112" s="6"/>
      <c r="J112" s="6"/>
      <c r="K112" s="16"/>
      <c r="L112" s="6"/>
      <c r="M112" s="11"/>
    </row>
    <row r="113" spans="1:13">
      <c r="A113" s="10"/>
      <c r="B113" s="16"/>
      <c r="C113" s="6"/>
      <c r="D113" s="6" t="str">
        <f>IFERROR(VLOOKUP(C113,'Instrument Inventory'!$A$3:$U$202,2,FALSE),"")</f>
        <v/>
      </c>
      <c r="E113" s="6"/>
      <c r="F113" s="6"/>
      <c r="G113" s="6"/>
      <c r="H113" s="6"/>
      <c r="I113" s="6"/>
      <c r="J113" s="6"/>
      <c r="K113" s="16"/>
      <c r="L113" s="6"/>
      <c r="M113" s="11"/>
    </row>
    <row r="114" spans="1:13">
      <c r="A114" s="10"/>
      <c r="B114" s="16"/>
      <c r="C114" s="6"/>
      <c r="D114" s="6" t="str">
        <f>IFERROR(VLOOKUP(C114,'Instrument Inventory'!$A$3:$U$202,2,FALSE),"")</f>
        <v/>
      </c>
      <c r="E114" s="6"/>
      <c r="F114" s="6"/>
      <c r="G114" s="6"/>
      <c r="H114" s="6"/>
      <c r="I114" s="6"/>
      <c r="J114" s="6"/>
      <c r="K114" s="16"/>
      <c r="L114" s="6"/>
      <c r="M114" s="11"/>
    </row>
    <row r="115" spans="1:13">
      <c r="A115" s="10"/>
      <c r="B115" s="16"/>
      <c r="C115" s="6"/>
      <c r="D115" s="6" t="str">
        <f>IFERROR(VLOOKUP(C115,'Instrument Inventory'!$A$3:$U$202,2,FALSE),"")</f>
        <v/>
      </c>
      <c r="E115" s="6"/>
      <c r="F115" s="6"/>
      <c r="G115" s="6"/>
      <c r="H115" s="6"/>
      <c r="I115" s="6"/>
      <c r="J115" s="6"/>
      <c r="K115" s="16"/>
      <c r="L115" s="6"/>
      <c r="M115" s="11"/>
    </row>
    <row r="116" spans="1:13">
      <c r="A116" s="10"/>
      <c r="B116" s="16"/>
      <c r="C116" s="6"/>
      <c r="D116" s="6" t="str">
        <f>IFERROR(VLOOKUP(C116,'Instrument Inventory'!$A$3:$U$202,2,FALSE),"")</f>
        <v/>
      </c>
      <c r="E116" s="6"/>
      <c r="F116" s="6"/>
      <c r="G116" s="6"/>
      <c r="H116" s="6"/>
      <c r="I116" s="6"/>
      <c r="J116" s="6"/>
      <c r="K116" s="16"/>
      <c r="L116" s="6"/>
      <c r="M116" s="11"/>
    </row>
    <row r="117" spans="1:13">
      <c r="A117" s="10"/>
      <c r="B117" s="16"/>
      <c r="C117" s="6"/>
      <c r="D117" s="6" t="str">
        <f>IFERROR(VLOOKUP(C117,'Instrument Inventory'!$A$3:$U$202,2,FALSE),"")</f>
        <v/>
      </c>
      <c r="E117" s="6"/>
      <c r="F117" s="6"/>
      <c r="G117" s="6"/>
      <c r="H117" s="6"/>
      <c r="I117" s="6"/>
      <c r="J117" s="6"/>
      <c r="K117" s="16"/>
      <c r="L117" s="6"/>
      <c r="M117" s="11"/>
    </row>
    <row r="118" spans="1:13">
      <c r="A118" s="10"/>
      <c r="B118" s="16"/>
      <c r="C118" s="6"/>
      <c r="D118" s="6" t="str">
        <f>IFERROR(VLOOKUP(C118,'Instrument Inventory'!$A$3:$U$202,2,FALSE),"")</f>
        <v/>
      </c>
      <c r="E118" s="6"/>
      <c r="F118" s="6"/>
      <c r="G118" s="6"/>
      <c r="H118" s="6"/>
      <c r="I118" s="6"/>
      <c r="J118" s="6"/>
      <c r="K118" s="16"/>
      <c r="L118" s="6"/>
      <c r="M118" s="11"/>
    </row>
    <row r="119" spans="1:13">
      <c r="A119" s="10"/>
      <c r="B119" s="16"/>
      <c r="C119" s="6"/>
      <c r="D119" s="6" t="str">
        <f>IFERROR(VLOOKUP(C119,'Instrument Inventory'!$A$3:$U$202,2,FALSE),"")</f>
        <v/>
      </c>
      <c r="E119" s="6"/>
      <c r="F119" s="6"/>
      <c r="G119" s="6"/>
      <c r="H119" s="6"/>
      <c r="I119" s="6"/>
      <c r="J119" s="6"/>
      <c r="K119" s="16"/>
      <c r="L119" s="6"/>
      <c r="M119" s="11"/>
    </row>
    <row r="120" spans="1:13">
      <c r="A120" s="10"/>
      <c r="B120" s="16"/>
      <c r="C120" s="6"/>
      <c r="D120" s="6" t="str">
        <f>IFERROR(VLOOKUP(C120,'Instrument Inventory'!$A$3:$U$202,2,FALSE),"")</f>
        <v/>
      </c>
      <c r="E120" s="6"/>
      <c r="F120" s="6"/>
      <c r="G120" s="6"/>
      <c r="H120" s="6"/>
      <c r="I120" s="6"/>
      <c r="J120" s="6"/>
      <c r="K120" s="16"/>
      <c r="L120" s="6"/>
      <c r="M120" s="11"/>
    </row>
    <row r="121" spans="1:13">
      <c r="A121" s="10"/>
      <c r="B121" s="16"/>
      <c r="C121" s="6"/>
      <c r="D121" s="6" t="str">
        <f>IFERROR(VLOOKUP(C121,'Instrument Inventory'!$A$3:$U$202,2,FALSE),"")</f>
        <v/>
      </c>
      <c r="E121" s="6"/>
      <c r="F121" s="6"/>
      <c r="G121" s="6"/>
      <c r="H121" s="6"/>
      <c r="I121" s="6"/>
      <c r="J121" s="6"/>
      <c r="K121" s="16"/>
      <c r="L121" s="6"/>
      <c r="M121" s="11"/>
    </row>
    <row r="122" spans="1:13">
      <c r="A122" s="10"/>
      <c r="B122" s="16"/>
      <c r="C122" s="6"/>
      <c r="D122" s="6" t="str">
        <f>IFERROR(VLOOKUP(C122,'Instrument Inventory'!$A$3:$U$202,2,FALSE),"")</f>
        <v/>
      </c>
      <c r="E122" s="6"/>
      <c r="F122" s="6"/>
      <c r="G122" s="6"/>
      <c r="H122" s="6"/>
      <c r="I122" s="6"/>
      <c r="J122" s="6"/>
      <c r="K122" s="16"/>
      <c r="L122" s="6"/>
      <c r="M122" s="11"/>
    </row>
    <row r="123" spans="1:13">
      <c r="A123" s="10"/>
      <c r="B123" s="16"/>
      <c r="C123" s="6"/>
      <c r="D123" s="6" t="str">
        <f>IFERROR(VLOOKUP(C123,'Instrument Inventory'!$A$3:$U$202,2,FALSE),"")</f>
        <v/>
      </c>
      <c r="E123" s="6"/>
      <c r="F123" s="6"/>
      <c r="G123" s="6"/>
      <c r="H123" s="6"/>
      <c r="I123" s="6"/>
      <c r="J123" s="6"/>
      <c r="K123" s="16"/>
      <c r="L123" s="6"/>
      <c r="M123" s="11"/>
    </row>
    <row r="124" spans="1:13">
      <c r="A124" s="10"/>
      <c r="B124" s="16"/>
      <c r="C124" s="6"/>
      <c r="D124" s="6" t="str">
        <f>IFERROR(VLOOKUP(C124,'Instrument Inventory'!$A$3:$U$202,2,FALSE),"")</f>
        <v/>
      </c>
      <c r="E124" s="6"/>
      <c r="F124" s="6"/>
      <c r="G124" s="6"/>
      <c r="H124" s="6"/>
      <c r="I124" s="6"/>
      <c r="J124" s="6"/>
      <c r="K124" s="16"/>
      <c r="L124" s="6"/>
      <c r="M124" s="11"/>
    </row>
    <row r="125" spans="1:13">
      <c r="A125" s="10"/>
      <c r="B125" s="16"/>
      <c r="C125" s="6"/>
      <c r="D125" s="6" t="str">
        <f>IFERROR(VLOOKUP(C125,'Instrument Inventory'!$A$3:$U$202,2,FALSE),"")</f>
        <v/>
      </c>
      <c r="E125" s="6"/>
      <c r="F125" s="6"/>
      <c r="G125" s="6"/>
      <c r="H125" s="6"/>
      <c r="I125" s="6"/>
      <c r="J125" s="6"/>
      <c r="K125" s="16"/>
      <c r="L125" s="6"/>
      <c r="M125" s="11"/>
    </row>
    <row r="126" spans="1:13">
      <c r="A126" s="10"/>
      <c r="B126" s="16"/>
      <c r="C126" s="6"/>
      <c r="D126" s="6" t="str">
        <f>IFERROR(VLOOKUP(C126,'Instrument Inventory'!$A$3:$U$202,2,FALSE),"")</f>
        <v/>
      </c>
      <c r="E126" s="6"/>
      <c r="F126" s="6"/>
      <c r="G126" s="6"/>
      <c r="H126" s="6"/>
      <c r="I126" s="6"/>
      <c r="J126" s="6"/>
      <c r="K126" s="16"/>
      <c r="L126" s="6"/>
      <c r="M126" s="11"/>
    </row>
    <row r="127" spans="1:13">
      <c r="A127" s="10"/>
      <c r="B127" s="16"/>
      <c r="C127" s="6"/>
      <c r="D127" s="6" t="str">
        <f>IFERROR(VLOOKUP(C127,'Instrument Inventory'!$A$3:$U$202,2,FALSE),"")</f>
        <v/>
      </c>
      <c r="E127" s="6"/>
      <c r="F127" s="6"/>
      <c r="G127" s="6"/>
      <c r="H127" s="6"/>
      <c r="I127" s="6"/>
      <c r="J127" s="6"/>
      <c r="K127" s="16"/>
      <c r="L127" s="6"/>
      <c r="M127" s="11"/>
    </row>
    <row r="128" spans="1:13">
      <c r="A128" s="10"/>
      <c r="B128" s="16"/>
      <c r="C128" s="6"/>
      <c r="D128" s="6" t="str">
        <f>IFERROR(VLOOKUP(C128,'Instrument Inventory'!$A$3:$U$202,2,FALSE),"")</f>
        <v/>
      </c>
      <c r="E128" s="6"/>
      <c r="F128" s="6"/>
      <c r="G128" s="6"/>
      <c r="H128" s="6"/>
      <c r="I128" s="6"/>
      <c r="J128" s="6"/>
      <c r="K128" s="16"/>
      <c r="L128" s="6"/>
      <c r="M128" s="11"/>
    </row>
    <row r="129" spans="1:13">
      <c r="A129" s="10"/>
      <c r="B129" s="16"/>
      <c r="C129" s="6"/>
      <c r="D129" s="6" t="str">
        <f>IFERROR(VLOOKUP(C129,'Instrument Inventory'!$A$3:$U$202,2,FALSE),"")</f>
        <v/>
      </c>
      <c r="E129" s="6"/>
      <c r="F129" s="6"/>
      <c r="G129" s="6"/>
      <c r="H129" s="6"/>
      <c r="I129" s="6"/>
      <c r="J129" s="6"/>
      <c r="K129" s="16"/>
      <c r="L129" s="6"/>
      <c r="M129" s="11"/>
    </row>
    <row r="130" spans="1:13">
      <c r="A130" s="10"/>
      <c r="B130" s="16"/>
      <c r="C130" s="6"/>
      <c r="D130" s="6" t="str">
        <f>IFERROR(VLOOKUP(C130,'Instrument Inventory'!$A$3:$U$202,2,FALSE),"")</f>
        <v/>
      </c>
      <c r="E130" s="6"/>
      <c r="F130" s="6"/>
      <c r="G130" s="6"/>
      <c r="H130" s="6"/>
      <c r="I130" s="6"/>
      <c r="J130" s="6"/>
      <c r="K130" s="16"/>
      <c r="L130" s="6"/>
      <c r="M130" s="11"/>
    </row>
    <row r="131" spans="1:13">
      <c r="A131" s="10"/>
      <c r="B131" s="16"/>
      <c r="C131" s="6"/>
      <c r="D131" s="6" t="str">
        <f>IFERROR(VLOOKUP(C131,'Instrument Inventory'!$A$3:$U$202,2,FALSE),"")</f>
        <v/>
      </c>
      <c r="E131" s="6"/>
      <c r="F131" s="6"/>
      <c r="G131" s="6"/>
      <c r="H131" s="6"/>
      <c r="I131" s="6"/>
      <c r="J131" s="6"/>
      <c r="K131" s="16"/>
      <c r="L131" s="6"/>
      <c r="M131" s="11"/>
    </row>
    <row r="132" spans="1:13">
      <c r="A132" s="10"/>
      <c r="B132" s="16"/>
      <c r="C132" s="6"/>
      <c r="D132" s="6" t="str">
        <f>IFERROR(VLOOKUP(C132,'Instrument Inventory'!$A$3:$U$202,2,FALSE),"")</f>
        <v/>
      </c>
      <c r="E132" s="6"/>
      <c r="F132" s="6"/>
      <c r="G132" s="6"/>
      <c r="H132" s="6"/>
      <c r="I132" s="6"/>
      <c r="J132" s="6"/>
      <c r="K132" s="16"/>
      <c r="L132" s="6"/>
      <c r="M132" s="11"/>
    </row>
    <row r="133" spans="1:13">
      <c r="A133" s="10"/>
      <c r="B133" s="16"/>
      <c r="C133" s="6"/>
      <c r="D133" s="6" t="str">
        <f>IFERROR(VLOOKUP(C133,'Instrument Inventory'!$A$3:$U$202,2,FALSE),"")</f>
        <v/>
      </c>
      <c r="E133" s="6"/>
      <c r="F133" s="6"/>
      <c r="G133" s="6"/>
      <c r="H133" s="6"/>
      <c r="I133" s="6"/>
      <c r="J133" s="6"/>
      <c r="K133" s="16"/>
      <c r="L133" s="6"/>
      <c r="M133" s="11"/>
    </row>
    <row r="134" spans="1:13">
      <c r="A134" s="10"/>
      <c r="B134" s="16"/>
      <c r="C134" s="6"/>
      <c r="D134" s="6" t="str">
        <f>IFERROR(VLOOKUP(C134,'Instrument Inventory'!$A$3:$U$202,2,FALSE),"")</f>
        <v/>
      </c>
      <c r="E134" s="6"/>
      <c r="F134" s="6"/>
      <c r="G134" s="6"/>
      <c r="H134" s="6"/>
      <c r="I134" s="6"/>
      <c r="J134" s="6"/>
      <c r="K134" s="16"/>
      <c r="L134" s="6"/>
      <c r="M134" s="11"/>
    </row>
    <row r="135" spans="1:13">
      <c r="A135" s="10"/>
      <c r="B135" s="16"/>
      <c r="C135" s="6"/>
      <c r="D135" s="6" t="str">
        <f>IFERROR(VLOOKUP(C135,'Instrument Inventory'!$A$3:$U$202,2,FALSE),"")</f>
        <v/>
      </c>
      <c r="E135" s="6"/>
      <c r="F135" s="6"/>
      <c r="G135" s="6"/>
      <c r="H135" s="6"/>
      <c r="I135" s="6"/>
      <c r="J135" s="6"/>
      <c r="K135" s="16"/>
      <c r="L135" s="6"/>
      <c r="M135" s="11"/>
    </row>
    <row r="136" spans="1:13">
      <c r="A136" s="10"/>
      <c r="B136" s="16"/>
      <c r="C136" s="6"/>
      <c r="D136" s="6" t="str">
        <f>IFERROR(VLOOKUP(C136,'Instrument Inventory'!$A$3:$U$202,2,FALSE),"")</f>
        <v/>
      </c>
      <c r="E136" s="6"/>
      <c r="F136" s="6"/>
      <c r="G136" s="6"/>
      <c r="H136" s="6"/>
      <c r="I136" s="6"/>
      <c r="J136" s="6"/>
      <c r="K136" s="16"/>
      <c r="L136" s="6"/>
      <c r="M136" s="11"/>
    </row>
    <row r="137" spans="1:13">
      <c r="A137" s="10"/>
      <c r="B137" s="16"/>
      <c r="C137" s="6"/>
      <c r="D137" s="6" t="str">
        <f>IFERROR(VLOOKUP(C137,'Instrument Inventory'!$A$3:$U$202,2,FALSE),"")</f>
        <v/>
      </c>
      <c r="E137" s="6"/>
      <c r="F137" s="6"/>
      <c r="G137" s="6"/>
      <c r="H137" s="6"/>
      <c r="I137" s="6"/>
      <c r="J137" s="6"/>
      <c r="K137" s="16"/>
      <c r="L137" s="6"/>
      <c r="M137" s="11"/>
    </row>
    <row r="138" spans="1:13">
      <c r="A138" s="10"/>
      <c r="B138" s="16"/>
      <c r="C138" s="6"/>
      <c r="D138" s="6" t="str">
        <f>IFERROR(VLOOKUP(C138,'Instrument Inventory'!$A$3:$U$202,2,FALSE),"")</f>
        <v/>
      </c>
      <c r="E138" s="6"/>
      <c r="F138" s="6"/>
      <c r="G138" s="6"/>
      <c r="H138" s="6"/>
      <c r="I138" s="6"/>
      <c r="J138" s="6"/>
      <c r="K138" s="16"/>
      <c r="L138" s="6"/>
      <c r="M138" s="11"/>
    </row>
    <row r="139" spans="1:13">
      <c r="A139" s="10"/>
      <c r="B139" s="16"/>
      <c r="C139" s="6"/>
      <c r="D139" s="6" t="str">
        <f>IFERROR(VLOOKUP(C139,'Instrument Inventory'!$A$3:$U$202,2,FALSE),"")</f>
        <v/>
      </c>
      <c r="E139" s="6"/>
      <c r="F139" s="6"/>
      <c r="G139" s="6"/>
      <c r="H139" s="6"/>
      <c r="I139" s="6"/>
      <c r="J139" s="6"/>
      <c r="K139" s="16"/>
      <c r="L139" s="6"/>
      <c r="M139" s="11"/>
    </row>
    <row r="140" spans="1:13">
      <c r="A140" s="10"/>
      <c r="B140" s="16"/>
      <c r="C140" s="6"/>
      <c r="D140" s="6" t="str">
        <f>IFERROR(VLOOKUP(C140,'Instrument Inventory'!$A$3:$U$202,2,FALSE),"")</f>
        <v/>
      </c>
      <c r="E140" s="6"/>
      <c r="F140" s="6"/>
      <c r="G140" s="6"/>
      <c r="H140" s="6"/>
      <c r="I140" s="6"/>
      <c r="J140" s="6"/>
      <c r="K140" s="16"/>
      <c r="L140" s="6"/>
      <c r="M140" s="11"/>
    </row>
    <row r="141" spans="1:13">
      <c r="A141" s="10"/>
      <c r="B141" s="16"/>
      <c r="C141" s="6"/>
      <c r="D141" s="6" t="str">
        <f>IFERROR(VLOOKUP(C141,'Instrument Inventory'!$A$3:$U$202,2,FALSE),"")</f>
        <v/>
      </c>
      <c r="E141" s="6"/>
      <c r="F141" s="6"/>
      <c r="G141" s="6"/>
      <c r="H141" s="6"/>
      <c r="I141" s="6"/>
      <c r="J141" s="6"/>
      <c r="K141" s="16"/>
      <c r="L141" s="6"/>
      <c r="M141" s="11"/>
    </row>
    <row r="142" spans="1:13">
      <c r="A142" s="10"/>
      <c r="B142" s="16"/>
      <c r="C142" s="6"/>
      <c r="D142" s="6" t="str">
        <f>IFERROR(VLOOKUP(C142,'Instrument Inventory'!$A$3:$U$202,2,FALSE),"")</f>
        <v/>
      </c>
      <c r="E142" s="6"/>
      <c r="F142" s="6"/>
      <c r="G142" s="6"/>
      <c r="H142" s="6"/>
      <c r="I142" s="6"/>
      <c r="J142" s="6"/>
      <c r="K142" s="16"/>
      <c r="L142" s="6"/>
      <c r="M142" s="11"/>
    </row>
    <row r="143" spans="1:13">
      <c r="A143" s="10"/>
      <c r="B143" s="16"/>
      <c r="C143" s="6"/>
      <c r="D143" s="6" t="str">
        <f>IFERROR(VLOOKUP(C143,'Instrument Inventory'!$A$3:$U$202,2,FALSE),"")</f>
        <v/>
      </c>
      <c r="E143" s="6"/>
      <c r="F143" s="6"/>
      <c r="G143" s="6"/>
      <c r="H143" s="6"/>
      <c r="I143" s="6"/>
      <c r="J143" s="6"/>
      <c r="K143" s="16"/>
      <c r="L143" s="6"/>
      <c r="M143" s="11"/>
    </row>
    <row r="144" spans="1:13">
      <c r="A144" s="10"/>
      <c r="B144" s="16"/>
      <c r="C144" s="6"/>
      <c r="D144" s="6" t="str">
        <f>IFERROR(VLOOKUP(C144,'Instrument Inventory'!$A$3:$U$202,2,FALSE),"")</f>
        <v/>
      </c>
      <c r="E144" s="6"/>
      <c r="F144" s="6"/>
      <c r="G144" s="6"/>
      <c r="H144" s="6"/>
      <c r="I144" s="6"/>
      <c r="J144" s="6"/>
      <c r="K144" s="16"/>
      <c r="L144" s="6"/>
      <c r="M144" s="11"/>
    </row>
    <row r="145" spans="1:13">
      <c r="A145" s="10"/>
      <c r="B145" s="16"/>
      <c r="C145" s="6"/>
      <c r="D145" s="6" t="str">
        <f>IFERROR(VLOOKUP(C145,'Instrument Inventory'!$A$3:$U$202,2,FALSE),"")</f>
        <v/>
      </c>
      <c r="E145" s="6"/>
      <c r="F145" s="6"/>
      <c r="G145" s="6"/>
      <c r="H145" s="6"/>
      <c r="I145" s="6"/>
      <c r="J145" s="6"/>
      <c r="K145" s="16"/>
      <c r="L145" s="6"/>
      <c r="M145" s="11"/>
    </row>
    <row r="146" spans="1:13">
      <c r="A146" s="10"/>
      <c r="B146" s="16"/>
      <c r="C146" s="6"/>
      <c r="D146" s="6" t="str">
        <f>IFERROR(VLOOKUP(C146,'Instrument Inventory'!$A$3:$U$202,2,FALSE),"")</f>
        <v/>
      </c>
      <c r="E146" s="6"/>
      <c r="F146" s="6"/>
      <c r="G146" s="6"/>
      <c r="H146" s="6"/>
      <c r="I146" s="6"/>
      <c r="J146" s="6"/>
      <c r="K146" s="16"/>
      <c r="L146" s="6"/>
      <c r="M146" s="11"/>
    </row>
    <row r="147" spans="1:13">
      <c r="A147" s="10"/>
      <c r="B147" s="16"/>
      <c r="C147" s="6"/>
      <c r="D147" s="6" t="str">
        <f>IFERROR(VLOOKUP(C147,'Instrument Inventory'!$A$3:$U$202,2,FALSE),"")</f>
        <v/>
      </c>
      <c r="E147" s="6"/>
      <c r="F147" s="6"/>
      <c r="G147" s="6"/>
      <c r="H147" s="6"/>
      <c r="I147" s="6"/>
      <c r="J147" s="6"/>
      <c r="K147" s="16"/>
      <c r="L147" s="6"/>
      <c r="M147" s="11"/>
    </row>
    <row r="148" spans="1:13">
      <c r="A148" s="10"/>
      <c r="B148" s="16"/>
      <c r="C148" s="6"/>
      <c r="D148" s="6" t="str">
        <f>IFERROR(VLOOKUP(C148,'Instrument Inventory'!$A$3:$U$202,2,FALSE),"")</f>
        <v/>
      </c>
      <c r="E148" s="6"/>
      <c r="F148" s="6"/>
      <c r="G148" s="6"/>
      <c r="H148" s="6"/>
      <c r="I148" s="6"/>
      <c r="J148" s="6"/>
      <c r="K148" s="16"/>
      <c r="L148" s="6"/>
      <c r="M148" s="11"/>
    </row>
    <row r="149" spans="1:13">
      <c r="A149" s="10"/>
      <c r="B149" s="16"/>
      <c r="C149" s="6"/>
      <c r="D149" s="6" t="str">
        <f>IFERROR(VLOOKUP(C149,'Instrument Inventory'!$A$3:$U$202,2,FALSE),"")</f>
        <v/>
      </c>
      <c r="E149" s="6"/>
      <c r="F149" s="6"/>
      <c r="G149" s="6"/>
      <c r="H149" s="6"/>
      <c r="I149" s="6"/>
      <c r="J149" s="6"/>
      <c r="K149" s="16"/>
      <c r="L149" s="6"/>
      <c r="M149" s="11"/>
    </row>
    <row r="150" spans="1:13">
      <c r="A150" s="10"/>
      <c r="B150" s="16"/>
      <c r="C150" s="6"/>
      <c r="D150" s="6" t="str">
        <f>IFERROR(VLOOKUP(C150,'Instrument Inventory'!$A$3:$U$202,2,FALSE),"")</f>
        <v/>
      </c>
      <c r="E150" s="6"/>
      <c r="F150" s="6"/>
      <c r="G150" s="6"/>
      <c r="H150" s="6"/>
      <c r="I150" s="6"/>
      <c r="J150" s="6"/>
      <c r="K150" s="16"/>
      <c r="L150" s="6"/>
      <c r="M150" s="11"/>
    </row>
    <row r="151" spans="1:13">
      <c r="A151" s="10"/>
      <c r="B151" s="16"/>
      <c r="C151" s="6"/>
      <c r="D151" s="6" t="str">
        <f>IFERROR(VLOOKUP(C151,'Instrument Inventory'!$A$3:$U$202,2,FALSE),"")</f>
        <v/>
      </c>
      <c r="E151" s="6"/>
      <c r="F151" s="6"/>
      <c r="G151" s="6"/>
      <c r="H151" s="6"/>
      <c r="I151" s="6"/>
      <c r="J151" s="6"/>
      <c r="K151" s="16"/>
      <c r="L151" s="6"/>
      <c r="M151" s="11"/>
    </row>
    <row r="152" spans="1:13">
      <c r="A152" s="10"/>
      <c r="B152" s="16"/>
      <c r="C152" s="6"/>
      <c r="D152" s="6" t="str">
        <f>IFERROR(VLOOKUP(C152,'Instrument Inventory'!$A$3:$U$202,2,FALSE),"")</f>
        <v/>
      </c>
      <c r="E152" s="6"/>
      <c r="F152" s="6"/>
      <c r="G152" s="6"/>
      <c r="H152" s="6"/>
      <c r="I152" s="6"/>
      <c r="J152" s="6"/>
      <c r="K152" s="16"/>
      <c r="L152" s="6"/>
      <c r="M152" s="11"/>
    </row>
    <row r="153" spans="1:13">
      <c r="A153" s="10"/>
      <c r="B153" s="16"/>
      <c r="C153" s="6"/>
      <c r="D153" s="6" t="str">
        <f>IFERROR(VLOOKUP(C153,'Instrument Inventory'!$A$3:$U$202,2,FALSE),"")</f>
        <v/>
      </c>
      <c r="E153" s="6"/>
      <c r="F153" s="6"/>
      <c r="G153" s="6"/>
      <c r="H153" s="6"/>
      <c r="I153" s="6"/>
      <c r="J153" s="6"/>
      <c r="K153" s="16"/>
      <c r="L153" s="6"/>
      <c r="M153" s="11"/>
    </row>
    <row r="154" spans="1:13">
      <c r="A154" s="10"/>
      <c r="B154" s="16"/>
      <c r="C154" s="6"/>
      <c r="D154" s="6" t="str">
        <f>IFERROR(VLOOKUP(C154,'Instrument Inventory'!$A$3:$U$202,2,FALSE),"")</f>
        <v/>
      </c>
      <c r="E154" s="6"/>
      <c r="F154" s="6"/>
      <c r="G154" s="6"/>
      <c r="H154" s="6"/>
      <c r="I154" s="6"/>
      <c r="J154" s="6"/>
      <c r="K154" s="16"/>
      <c r="L154" s="6"/>
      <c r="M154" s="11"/>
    </row>
    <row r="155" spans="1:13">
      <c r="A155" s="10"/>
      <c r="B155" s="16"/>
      <c r="C155" s="6"/>
      <c r="D155" s="6" t="str">
        <f>IFERROR(VLOOKUP(C155,'Instrument Inventory'!$A$3:$U$202,2,FALSE),"")</f>
        <v/>
      </c>
      <c r="E155" s="6"/>
      <c r="F155" s="6"/>
      <c r="G155" s="6"/>
      <c r="H155" s="6"/>
      <c r="I155" s="6"/>
      <c r="J155" s="6"/>
      <c r="K155" s="16"/>
      <c r="L155" s="6"/>
      <c r="M155" s="11"/>
    </row>
    <row r="156" spans="1:13">
      <c r="A156" s="10"/>
      <c r="B156" s="16"/>
      <c r="C156" s="6"/>
      <c r="D156" s="6" t="str">
        <f>IFERROR(VLOOKUP(C156,'Instrument Inventory'!$A$3:$U$202,2,FALSE),"")</f>
        <v/>
      </c>
      <c r="E156" s="6"/>
      <c r="F156" s="6"/>
      <c r="G156" s="6"/>
      <c r="H156" s="6"/>
      <c r="I156" s="6"/>
      <c r="J156" s="6"/>
      <c r="K156" s="16"/>
      <c r="L156" s="6"/>
      <c r="M156" s="11"/>
    </row>
    <row r="157" spans="1:13">
      <c r="A157" s="10"/>
      <c r="B157" s="16"/>
      <c r="C157" s="6"/>
      <c r="D157" s="6" t="str">
        <f>IFERROR(VLOOKUP(C157,'Instrument Inventory'!$A$3:$U$202,2,FALSE),"")</f>
        <v/>
      </c>
      <c r="E157" s="6"/>
      <c r="F157" s="6"/>
      <c r="G157" s="6"/>
      <c r="H157" s="6"/>
      <c r="I157" s="6"/>
      <c r="J157" s="6"/>
      <c r="K157" s="16"/>
      <c r="L157" s="6"/>
      <c r="M157" s="11"/>
    </row>
    <row r="158" spans="1:13">
      <c r="A158" s="10"/>
      <c r="B158" s="16"/>
      <c r="C158" s="6"/>
      <c r="D158" s="6" t="str">
        <f>IFERROR(VLOOKUP(C158,'Instrument Inventory'!$A$3:$U$202,2,FALSE),"")</f>
        <v/>
      </c>
      <c r="E158" s="6"/>
      <c r="F158" s="6"/>
      <c r="G158" s="6"/>
      <c r="H158" s="6"/>
      <c r="I158" s="6"/>
      <c r="J158" s="6"/>
      <c r="K158" s="16"/>
      <c r="L158" s="6"/>
      <c r="M158" s="11"/>
    </row>
    <row r="159" spans="1:13">
      <c r="A159" s="10"/>
      <c r="B159" s="16"/>
      <c r="C159" s="6"/>
      <c r="D159" s="6" t="str">
        <f>IFERROR(VLOOKUP(C159,'Instrument Inventory'!$A$3:$U$202,2,FALSE),"")</f>
        <v/>
      </c>
      <c r="E159" s="6"/>
      <c r="F159" s="6"/>
      <c r="G159" s="6"/>
      <c r="H159" s="6"/>
      <c r="I159" s="6"/>
      <c r="J159" s="6"/>
      <c r="K159" s="16"/>
      <c r="L159" s="6"/>
      <c r="M159" s="11"/>
    </row>
    <row r="160" spans="1:13">
      <c r="A160" s="10"/>
      <c r="B160" s="16"/>
      <c r="C160" s="6"/>
      <c r="D160" s="6" t="str">
        <f>IFERROR(VLOOKUP(C160,'Instrument Inventory'!$A$3:$U$202,2,FALSE),"")</f>
        <v/>
      </c>
      <c r="E160" s="6"/>
      <c r="F160" s="6"/>
      <c r="G160" s="6"/>
      <c r="H160" s="6"/>
      <c r="I160" s="6"/>
      <c r="J160" s="6"/>
      <c r="K160" s="16"/>
      <c r="L160" s="6"/>
      <c r="M160" s="11"/>
    </row>
    <row r="161" spans="1:13">
      <c r="A161" s="10"/>
      <c r="B161" s="16"/>
      <c r="C161" s="6"/>
      <c r="D161" s="6" t="str">
        <f>IFERROR(VLOOKUP(C161,'Instrument Inventory'!$A$3:$U$202,2,FALSE),"")</f>
        <v/>
      </c>
      <c r="E161" s="6"/>
      <c r="F161" s="6"/>
      <c r="G161" s="6"/>
      <c r="H161" s="6"/>
      <c r="I161" s="6"/>
      <c r="J161" s="6"/>
      <c r="K161" s="16"/>
      <c r="L161" s="6"/>
      <c r="M161" s="11"/>
    </row>
    <row r="162" spans="1:13">
      <c r="A162" s="10"/>
      <c r="B162" s="16"/>
      <c r="C162" s="6"/>
      <c r="D162" s="6" t="str">
        <f>IFERROR(VLOOKUP(C162,'Instrument Inventory'!$A$3:$U$202,2,FALSE),"")</f>
        <v/>
      </c>
      <c r="E162" s="6"/>
      <c r="F162" s="6"/>
      <c r="G162" s="6"/>
      <c r="H162" s="6"/>
      <c r="I162" s="6"/>
      <c r="J162" s="6"/>
      <c r="K162" s="16"/>
      <c r="L162" s="6"/>
      <c r="M162" s="11"/>
    </row>
    <row r="163" spans="1:13">
      <c r="A163" s="10"/>
      <c r="B163" s="16"/>
      <c r="C163" s="6"/>
      <c r="D163" s="6" t="str">
        <f>IFERROR(VLOOKUP(C163,'Instrument Inventory'!$A$3:$U$202,2,FALSE),"")</f>
        <v/>
      </c>
      <c r="E163" s="6"/>
      <c r="F163" s="6"/>
      <c r="G163" s="6"/>
      <c r="H163" s="6"/>
      <c r="I163" s="6"/>
      <c r="J163" s="6"/>
      <c r="K163" s="16"/>
      <c r="L163" s="6"/>
      <c r="M163" s="11"/>
    </row>
    <row r="164" spans="1:13">
      <c r="A164" s="10"/>
      <c r="B164" s="16"/>
      <c r="C164" s="6"/>
      <c r="D164" s="6" t="str">
        <f>IFERROR(VLOOKUP(C164,'Instrument Inventory'!$A$3:$U$202,2,FALSE),"")</f>
        <v/>
      </c>
      <c r="E164" s="6"/>
      <c r="F164" s="6"/>
      <c r="G164" s="6"/>
      <c r="H164" s="6"/>
      <c r="I164" s="6"/>
      <c r="J164" s="6"/>
      <c r="K164" s="16"/>
      <c r="L164" s="6"/>
      <c r="M164" s="11"/>
    </row>
    <row r="165" spans="1:13">
      <c r="A165" s="10"/>
      <c r="B165" s="16"/>
      <c r="C165" s="6"/>
      <c r="D165" s="6" t="str">
        <f>IFERROR(VLOOKUP(C165,'Instrument Inventory'!$A$3:$U$202,2,FALSE),"")</f>
        <v/>
      </c>
      <c r="E165" s="6"/>
      <c r="F165" s="6"/>
      <c r="G165" s="6"/>
      <c r="H165" s="6"/>
      <c r="I165" s="6"/>
      <c r="J165" s="6"/>
      <c r="K165" s="16"/>
      <c r="L165" s="6"/>
      <c r="M165" s="11"/>
    </row>
    <row r="166" spans="1:13">
      <c r="A166" s="10"/>
      <c r="B166" s="16"/>
      <c r="C166" s="6"/>
      <c r="D166" s="6" t="str">
        <f>IFERROR(VLOOKUP(C166,'Instrument Inventory'!$A$3:$U$202,2,FALSE),"")</f>
        <v/>
      </c>
      <c r="E166" s="6"/>
      <c r="F166" s="6"/>
      <c r="G166" s="6"/>
      <c r="H166" s="6"/>
      <c r="I166" s="6"/>
      <c r="J166" s="6"/>
      <c r="K166" s="16"/>
      <c r="L166" s="6"/>
      <c r="M166" s="11"/>
    </row>
    <row r="167" spans="1:13">
      <c r="A167" s="10"/>
      <c r="B167" s="16"/>
      <c r="C167" s="6"/>
      <c r="D167" s="6" t="str">
        <f>IFERROR(VLOOKUP(C167,'Instrument Inventory'!$A$3:$U$202,2,FALSE),"")</f>
        <v/>
      </c>
      <c r="E167" s="6"/>
      <c r="F167" s="6"/>
      <c r="G167" s="6"/>
      <c r="H167" s="6"/>
      <c r="I167" s="6"/>
      <c r="J167" s="6"/>
      <c r="K167" s="16"/>
      <c r="L167" s="6"/>
      <c r="M167" s="11"/>
    </row>
    <row r="168" spans="1:13">
      <c r="A168" s="10"/>
      <c r="B168" s="16"/>
      <c r="C168" s="6"/>
      <c r="D168" s="6" t="str">
        <f>IFERROR(VLOOKUP(C168,'Instrument Inventory'!$A$3:$U$202,2,FALSE),"")</f>
        <v/>
      </c>
      <c r="E168" s="6"/>
      <c r="F168" s="6"/>
      <c r="G168" s="6"/>
      <c r="H168" s="6"/>
      <c r="I168" s="6"/>
      <c r="J168" s="6"/>
      <c r="K168" s="16"/>
      <c r="L168" s="6"/>
      <c r="M168" s="11"/>
    </row>
    <row r="169" spans="1:13">
      <c r="A169" s="10"/>
      <c r="B169" s="16"/>
      <c r="C169" s="6"/>
      <c r="D169" s="6" t="str">
        <f>IFERROR(VLOOKUP(C169,'Instrument Inventory'!$A$3:$U$202,2,FALSE),"")</f>
        <v/>
      </c>
      <c r="E169" s="6"/>
      <c r="F169" s="6"/>
      <c r="G169" s="6"/>
      <c r="H169" s="6"/>
      <c r="I169" s="6"/>
      <c r="J169" s="6"/>
      <c r="K169" s="16"/>
      <c r="L169" s="6"/>
      <c r="M169" s="11"/>
    </row>
    <row r="170" spans="1:13">
      <c r="A170" s="10"/>
      <c r="B170" s="16"/>
      <c r="C170" s="6"/>
      <c r="D170" s="6" t="str">
        <f>IFERROR(VLOOKUP(C170,'Instrument Inventory'!$A$3:$U$202,2,FALSE),"")</f>
        <v/>
      </c>
      <c r="E170" s="6"/>
      <c r="F170" s="6"/>
      <c r="G170" s="6"/>
      <c r="H170" s="6"/>
      <c r="I170" s="6"/>
      <c r="J170" s="6"/>
      <c r="K170" s="16"/>
      <c r="L170" s="6"/>
      <c r="M170" s="11"/>
    </row>
    <row r="171" spans="1:13">
      <c r="A171" s="10"/>
      <c r="B171" s="16"/>
      <c r="C171" s="6"/>
      <c r="D171" s="6" t="str">
        <f>IFERROR(VLOOKUP(C171,'Instrument Inventory'!$A$3:$U$202,2,FALSE),"")</f>
        <v/>
      </c>
      <c r="E171" s="6"/>
      <c r="F171" s="6"/>
      <c r="G171" s="6"/>
      <c r="H171" s="6"/>
      <c r="I171" s="6"/>
      <c r="J171" s="6"/>
      <c r="K171" s="16"/>
      <c r="L171" s="6"/>
      <c r="M171" s="11"/>
    </row>
    <row r="172" spans="1:13">
      <c r="A172" s="10"/>
      <c r="B172" s="16"/>
      <c r="C172" s="6"/>
      <c r="D172" s="6" t="str">
        <f>IFERROR(VLOOKUP(C172,'Instrument Inventory'!$A$3:$U$202,2,FALSE),"")</f>
        <v/>
      </c>
      <c r="E172" s="6"/>
      <c r="F172" s="6"/>
      <c r="G172" s="6"/>
      <c r="H172" s="6"/>
      <c r="I172" s="6"/>
      <c r="J172" s="6"/>
      <c r="K172" s="16"/>
      <c r="L172" s="6"/>
      <c r="M172" s="11"/>
    </row>
    <row r="173" spans="1:13">
      <c r="A173" s="10"/>
      <c r="B173" s="16"/>
      <c r="C173" s="6"/>
      <c r="D173" s="6" t="str">
        <f>IFERROR(VLOOKUP(C173,'Instrument Inventory'!$A$3:$U$202,2,FALSE),"")</f>
        <v/>
      </c>
      <c r="E173" s="6"/>
      <c r="F173" s="6"/>
      <c r="G173" s="6"/>
      <c r="H173" s="6"/>
      <c r="I173" s="6"/>
      <c r="J173" s="6"/>
      <c r="K173" s="16"/>
      <c r="L173" s="6"/>
      <c r="M173" s="11"/>
    </row>
    <row r="174" spans="1:13">
      <c r="A174" s="10"/>
      <c r="B174" s="16"/>
      <c r="C174" s="6"/>
      <c r="D174" s="6" t="str">
        <f>IFERROR(VLOOKUP(C174,'Instrument Inventory'!$A$3:$U$202,2,FALSE),"")</f>
        <v/>
      </c>
      <c r="E174" s="6"/>
      <c r="F174" s="6"/>
      <c r="G174" s="6"/>
      <c r="H174" s="6"/>
      <c r="I174" s="6"/>
      <c r="J174" s="6"/>
      <c r="K174" s="16"/>
      <c r="L174" s="6"/>
      <c r="M174" s="11"/>
    </row>
    <row r="175" spans="1:13">
      <c r="A175" s="10"/>
      <c r="B175" s="16"/>
      <c r="C175" s="6"/>
      <c r="D175" s="6" t="str">
        <f>IFERROR(VLOOKUP(C175,'Instrument Inventory'!$A$3:$U$202,2,FALSE),"")</f>
        <v/>
      </c>
      <c r="E175" s="6"/>
      <c r="F175" s="6"/>
      <c r="G175" s="6"/>
      <c r="H175" s="6"/>
      <c r="I175" s="6"/>
      <c r="J175" s="6"/>
      <c r="K175" s="16"/>
      <c r="L175" s="6"/>
      <c r="M175" s="11"/>
    </row>
    <row r="176" spans="1:13">
      <c r="A176" s="10"/>
      <c r="B176" s="16"/>
      <c r="C176" s="6"/>
      <c r="D176" s="6" t="str">
        <f>IFERROR(VLOOKUP(C176,'Instrument Inventory'!$A$3:$U$202,2,FALSE),"")</f>
        <v/>
      </c>
      <c r="E176" s="6"/>
      <c r="F176" s="6"/>
      <c r="G176" s="6"/>
      <c r="H176" s="6"/>
      <c r="I176" s="6"/>
      <c r="J176" s="6"/>
      <c r="K176" s="16"/>
      <c r="L176" s="6"/>
      <c r="M176" s="11"/>
    </row>
    <row r="177" spans="1:13">
      <c r="A177" s="10"/>
      <c r="B177" s="16"/>
      <c r="C177" s="6"/>
      <c r="D177" s="6" t="str">
        <f>IFERROR(VLOOKUP(C177,'Instrument Inventory'!$A$3:$U$202,2,FALSE),"")</f>
        <v/>
      </c>
      <c r="E177" s="6"/>
      <c r="F177" s="6"/>
      <c r="G177" s="6"/>
      <c r="H177" s="6"/>
      <c r="I177" s="6"/>
      <c r="J177" s="6"/>
      <c r="K177" s="16"/>
      <c r="L177" s="6"/>
      <c r="M177" s="11"/>
    </row>
    <row r="178" spans="1:13">
      <c r="A178" s="10"/>
      <c r="B178" s="16"/>
      <c r="C178" s="6"/>
      <c r="D178" s="6" t="str">
        <f>IFERROR(VLOOKUP(C178,'Instrument Inventory'!$A$3:$U$202,2,FALSE),"")</f>
        <v/>
      </c>
      <c r="E178" s="6"/>
      <c r="F178" s="6"/>
      <c r="G178" s="6"/>
      <c r="H178" s="6"/>
      <c r="I178" s="6"/>
      <c r="J178" s="6"/>
      <c r="K178" s="16"/>
      <c r="L178" s="6"/>
      <c r="M178" s="11"/>
    </row>
    <row r="179" spans="1:13">
      <c r="A179" s="10"/>
      <c r="B179" s="16"/>
      <c r="C179" s="6"/>
      <c r="D179" s="6" t="str">
        <f>IFERROR(VLOOKUP(C179,'Instrument Inventory'!$A$3:$U$202,2,FALSE),"")</f>
        <v/>
      </c>
      <c r="E179" s="6"/>
      <c r="F179" s="6"/>
      <c r="G179" s="6"/>
      <c r="H179" s="6"/>
      <c r="I179" s="6"/>
      <c r="J179" s="6"/>
      <c r="K179" s="16"/>
      <c r="L179" s="6"/>
      <c r="M179" s="11"/>
    </row>
    <row r="180" spans="1:13">
      <c r="A180" s="10"/>
      <c r="B180" s="16"/>
      <c r="C180" s="6"/>
      <c r="D180" s="6" t="str">
        <f>IFERROR(VLOOKUP(C180,'Instrument Inventory'!$A$3:$U$202,2,FALSE),"")</f>
        <v/>
      </c>
      <c r="E180" s="6"/>
      <c r="F180" s="6"/>
      <c r="G180" s="6"/>
      <c r="H180" s="6"/>
      <c r="I180" s="6"/>
      <c r="J180" s="6"/>
      <c r="K180" s="16"/>
      <c r="L180" s="6"/>
      <c r="M180" s="11"/>
    </row>
    <row r="181" spans="1:13">
      <c r="A181" s="10"/>
      <c r="B181" s="16"/>
      <c r="C181" s="6"/>
      <c r="D181" s="6" t="str">
        <f>IFERROR(VLOOKUP(C181,'Instrument Inventory'!$A$3:$U$202,2,FALSE),"")</f>
        <v/>
      </c>
      <c r="E181" s="6"/>
      <c r="F181" s="6"/>
      <c r="G181" s="6"/>
      <c r="H181" s="6"/>
      <c r="I181" s="6"/>
      <c r="J181" s="6"/>
      <c r="K181" s="16"/>
      <c r="L181" s="6"/>
      <c r="M181" s="11"/>
    </row>
    <row r="182" spans="1:13">
      <c r="A182" s="10"/>
      <c r="B182" s="16"/>
      <c r="C182" s="6"/>
      <c r="D182" s="6" t="str">
        <f>IFERROR(VLOOKUP(C182,'Instrument Inventory'!$A$3:$U$202,2,FALSE),"")</f>
        <v/>
      </c>
      <c r="E182" s="6"/>
      <c r="F182" s="6"/>
      <c r="G182" s="6"/>
      <c r="H182" s="6"/>
      <c r="I182" s="6"/>
      <c r="J182" s="6"/>
      <c r="K182" s="16"/>
      <c r="L182" s="6"/>
      <c r="M182" s="11"/>
    </row>
    <row r="183" spans="1:13">
      <c r="A183" s="10"/>
      <c r="B183" s="16"/>
      <c r="C183" s="6"/>
      <c r="D183" s="6" t="str">
        <f>IFERROR(VLOOKUP(C183,'Instrument Inventory'!$A$3:$U$202,2,FALSE),"")</f>
        <v/>
      </c>
      <c r="E183" s="6"/>
      <c r="F183" s="6"/>
      <c r="G183" s="6"/>
      <c r="H183" s="6"/>
      <c r="I183" s="6"/>
      <c r="J183" s="6"/>
      <c r="K183" s="16"/>
      <c r="L183" s="6"/>
      <c r="M183" s="11"/>
    </row>
    <row r="184" spans="1:13">
      <c r="A184" s="10"/>
      <c r="B184" s="16"/>
      <c r="C184" s="6"/>
      <c r="D184" s="6" t="str">
        <f>IFERROR(VLOOKUP(C184,'Instrument Inventory'!$A$3:$U$202,2,FALSE),"")</f>
        <v/>
      </c>
      <c r="E184" s="6"/>
      <c r="F184" s="6"/>
      <c r="G184" s="6"/>
      <c r="H184" s="6"/>
      <c r="I184" s="6"/>
      <c r="J184" s="6"/>
      <c r="K184" s="16"/>
      <c r="L184" s="6"/>
      <c r="M184" s="11"/>
    </row>
    <row r="185" spans="1:13">
      <c r="A185" s="10"/>
      <c r="B185" s="16"/>
      <c r="C185" s="6"/>
      <c r="D185" s="6" t="str">
        <f>IFERROR(VLOOKUP(C185,'Instrument Inventory'!$A$3:$U$202,2,FALSE),"")</f>
        <v/>
      </c>
      <c r="E185" s="6"/>
      <c r="F185" s="6"/>
      <c r="G185" s="6"/>
      <c r="H185" s="6"/>
      <c r="I185" s="6"/>
      <c r="J185" s="6"/>
      <c r="K185" s="16"/>
      <c r="L185" s="6"/>
      <c r="M185" s="11"/>
    </row>
    <row r="186" spans="1:13">
      <c r="A186" s="10"/>
      <c r="B186" s="16"/>
      <c r="C186" s="6"/>
      <c r="D186" s="6" t="str">
        <f>IFERROR(VLOOKUP(C186,'Instrument Inventory'!$A$3:$U$202,2,FALSE),"")</f>
        <v/>
      </c>
      <c r="E186" s="6"/>
      <c r="F186" s="6"/>
      <c r="G186" s="6"/>
      <c r="H186" s="6"/>
      <c r="I186" s="6"/>
      <c r="J186" s="6"/>
      <c r="K186" s="16"/>
      <c r="L186" s="6"/>
      <c r="M186" s="11"/>
    </row>
    <row r="187" spans="1:13">
      <c r="A187" s="10"/>
      <c r="B187" s="16"/>
      <c r="C187" s="6"/>
      <c r="D187" s="6" t="str">
        <f>IFERROR(VLOOKUP(C187,'Instrument Inventory'!$A$3:$U$202,2,FALSE),"")</f>
        <v/>
      </c>
      <c r="E187" s="6"/>
      <c r="F187" s="6"/>
      <c r="G187" s="6"/>
      <c r="H187" s="6"/>
      <c r="I187" s="6"/>
      <c r="J187" s="6"/>
      <c r="K187" s="16"/>
      <c r="L187" s="6"/>
      <c r="M187" s="11"/>
    </row>
    <row r="188" spans="1:13">
      <c r="A188" s="10"/>
      <c r="B188" s="16"/>
      <c r="C188" s="6"/>
      <c r="D188" s="6" t="str">
        <f>IFERROR(VLOOKUP(C188,'Instrument Inventory'!$A$3:$U$202,2,FALSE),"")</f>
        <v/>
      </c>
      <c r="E188" s="6"/>
      <c r="F188" s="6"/>
      <c r="G188" s="6"/>
      <c r="H188" s="6"/>
      <c r="I188" s="6"/>
      <c r="J188" s="6"/>
      <c r="K188" s="16"/>
      <c r="L188" s="6"/>
      <c r="M188" s="11"/>
    </row>
    <row r="189" spans="1:13">
      <c r="A189" s="10"/>
      <c r="B189" s="16"/>
      <c r="C189" s="6"/>
      <c r="D189" s="6" t="str">
        <f>IFERROR(VLOOKUP(C189,'Instrument Inventory'!$A$3:$U$202,2,FALSE),"")</f>
        <v/>
      </c>
      <c r="E189" s="6"/>
      <c r="F189" s="6"/>
      <c r="G189" s="6"/>
      <c r="H189" s="6"/>
      <c r="I189" s="6"/>
      <c r="J189" s="6"/>
      <c r="K189" s="16"/>
      <c r="L189" s="6"/>
      <c r="M189" s="11"/>
    </row>
    <row r="190" spans="1:13">
      <c r="A190" s="10"/>
      <c r="B190" s="16"/>
      <c r="C190" s="6"/>
      <c r="D190" s="6" t="str">
        <f>IFERROR(VLOOKUP(C190,'Instrument Inventory'!$A$3:$U$202,2,FALSE),"")</f>
        <v/>
      </c>
      <c r="E190" s="6"/>
      <c r="F190" s="6"/>
      <c r="G190" s="6"/>
      <c r="H190" s="6"/>
      <c r="I190" s="6"/>
      <c r="J190" s="6"/>
      <c r="K190" s="16"/>
      <c r="L190" s="6"/>
      <c r="M190" s="11"/>
    </row>
    <row r="191" spans="1:13">
      <c r="A191" s="10"/>
      <c r="B191" s="16"/>
      <c r="C191" s="6"/>
      <c r="D191" s="6" t="str">
        <f>IFERROR(VLOOKUP(C191,'Instrument Inventory'!$A$3:$U$202,2,FALSE),"")</f>
        <v/>
      </c>
      <c r="E191" s="6"/>
      <c r="F191" s="6"/>
      <c r="G191" s="6"/>
      <c r="H191" s="6"/>
      <c r="I191" s="6"/>
      <c r="J191" s="6"/>
      <c r="K191" s="16"/>
      <c r="L191" s="6"/>
      <c r="M191" s="11"/>
    </row>
    <row r="192" spans="1:13">
      <c r="A192" s="10"/>
      <c r="B192" s="16"/>
      <c r="C192" s="6"/>
      <c r="D192" s="6" t="str">
        <f>IFERROR(VLOOKUP(C192,'Instrument Inventory'!$A$3:$U$202,2,FALSE),"")</f>
        <v/>
      </c>
      <c r="E192" s="6"/>
      <c r="F192" s="6"/>
      <c r="G192" s="6"/>
      <c r="H192" s="6"/>
      <c r="I192" s="6"/>
      <c r="J192" s="6"/>
      <c r="K192" s="16"/>
      <c r="L192" s="6"/>
      <c r="M192" s="11"/>
    </row>
    <row r="193" spans="1:13">
      <c r="A193" s="10"/>
      <c r="B193" s="16"/>
      <c r="C193" s="6"/>
      <c r="D193" s="6" t="str">
        <f>IFERROR(VLOOKUP(C193,'Instrument Inventory'!$A$3:$U$202,2,FALSE),"")</f>
        <v/>
      </c>
      <c r="E193" s="6"/>
      <c r="F193" s="6"/>
      <c r="G193" s="6"/>
      <c r="H193" s="6"/>
      <c r="I193" s="6"/>
      <c r="J193" s="6"/>
      <c r="K193" s="16"/>
      <c r="L193" s="6"/>
      <c r="M193" s="11"/>
    </row>
    <row r="194" spans="1:13">
      <c r="A194" s="10"/>
      <c r="B194" s="16"/>
      <c r="C194" s="6"/>
      <c r="D194" s="6" t="str">
        <f>IFERROR(VLOOKUP(C194,'Instrument Inventory'!$A$3:$U$202,2,FALSE),"")</f>
        <v/>
      </c>
      <c r="E194" s="6"/>
      <c r="F194" s="6"/>
      <c r="G194" s="6"/>
      <c r="H194" s="6"/>
      <c r="I194" s="6"/>
      <c r="J194" s="6"/>
      <c r="K194" s="16"/>
      <c r="L194" s="6"/>
      <c r="M194" s="11"/>
    </row>
    <row r="195" spans="1:13">
      <c r="A195" s="10"/>
      <c r="B195" s="16"/>
      <c r="C195" s="6"/>
      <c r="D195" s="6" t="str">
        <f>IFERROR(VLOOKUP(C195,'Instrument Inventory'!$A$3:$U$202,2,FALSE),"")</f>
        <v/>
      </c>
      <c r="E195" s="6"/>
      <c r="F195" s="6"/>
      <c r="G195" s="6"/>
      <c r="H195" s="6"/>
      <c r="I195" s="6"/>
      <c r="J195" s="6"/>
      <c r="K195" s="16"/>
      <c r="L195" s="6"/>
      <c r="M195" s="11"/>
    </row>
    <row r="196" spans="1:13">
      <c r="A196" s="10"/>
      <c r="B196" s="16"/>
      <c r="C196" s="6"/>
      <c r="D196" s="6" t="str">
        <f>IFERROR(VLOOKUP(C196,'Instrument Inventory'!$A$3:$U$202,2,FALSE),"")</f>
        <v/>
      </c>
      <c r="E196" s="6"/>
      <c r="F196" s="6"/>
      <c r="G196" s="6"/>
      <c r="H196" s="6"/>
      <c r="I196" s="6"/>
      <c r="J196" s="6"/>
      <c r="K196" s="16"/>
      <c r="L196" s="6"/>
      <c r="M196" s="11"/>
    </row>
    <row r="197" spans="1:13">
      <c r="A197" s="10"/>
      <c r="B197" s="16"/>
      <c r="C197" s="6"/>
      <c r="D197" s="6" t="str">
        <f>IFERROR(VLOOKUP(C197,'Instrument Inventory'!$A$3:$U$202,2,FALSE),"")</f>
        <v/>
      </c>
      <c r="E197" s="6"/>
      <c r="F197" s="6"/>
      <c r="G197" s="6"/>
      <c r="H197" s="6"/>
      <c r="I197" s="6"/>
      <c r="J197" s="6"/>
      <c r="K197" s="16"/>
      <c r="L197" s="6"/>
      <c r="M197" s="11"/>
    </row>
    <row r="198" spans="1:13">
      <c r="A198" s="10"/>
      <c r="B198" s="16"/>
      <c r="C198" s="6"/>
      <c r="D198" s="6" t="str">
        <f>IFERROR(VLOOKUP(C198,'Instrument Inventory'!$A$3:$U$202,2,FALSE),"")</f>
        <v/>
      </c>
      <c r="E198" s="6"/>
      <c r="F198" s="6"/>
      <c r="G198" s="6"/>
      <c r="H198" s="6"/>
      <c r="I198" s="6"/>
      <c r="J198" s="6"/>
      <c r="K198" s="16"/>
      <c r="L198" s="6"/>
      <c r="M198" s="11"/>
    </row>
    <row r="199" spans="1:13">
      <c r="A199" s="10"/>
      <c r="B199" s="16"/>
      <c r="C199" s="6"/>
      <c r="D199" s="6" t="str">
        <f>IFERROR(VLOOKUP(C199,'Instrument Inventory'!$A$3:$U$202,2,FALSE),"")</f>
        <v/>
      </c>
      <c r="E199" s="6"/>
      <c r="F199" s="6"/>
      <c r="G199" s="6"/>
      <c r="H199" s="6"/>
      <c r="I199" s="6"/>
      <c r="J199" s="6"/>
      <c r="K199" s="16"/>
      <c r="L199" s="6"/>
      <c r="M199" s="11"/>
    </row>
    <row r="200" spans="1:13">
      <c r="A200" s="10"/>
      <c r="B200" s="16"/>
      <c r="C200" s="6"/>
      <c r="D200" s="6" t="str">
        <f>IFERROR(VLOOKUP(C200,'Instrument Inventory'!$A$3:$U$202,2,FALSE),"")</f>
        <v/>
      </c>
      <c r="E200" s="6"/>
      <c r="F200" s="6"/>
      <c r="G200" s="6"/>
      <c r="H200" s="6"/>
      <c r="I200" s="6"/>
      <c r="J200" s="6"/>
      <c r="K200" s="16"/>
      <c r="L200" s="6"/>
      <c r="M200" s="11"/>
    </row>
    <row r="201" spans="1:13">
      <c r="A201" s="10"/>
      <c r="B201" s="16"/>
      <c r="C201" s="6"/>
      <c r="D201" s="6" t="str">
        <f>IFERROR(VLOOKUP(C201,'Instrument Inventory'!$A$3:$U$202,2,FALSE),"")</f>
        <v/>
      </c>
      <c r="E201" s="6"/>
      <c r="F201" s="6"/>
      <c r="G201" s="6"/>
      <c r="H201" s="6"/>
      <c r="I201" s="6"/>
      <c r="J201" s="6"/>
      <c r="K201" s="16"/>
      <c r="L201" s="6"/>
      <c r="M201" s="11"/>
    </row>
    <row r="202" spans="1:13">
      <c r="A202" s="12"/>
      <c r="B202" s="17"/>
      <c r="C202" s="13"/>
      <c r="D202" s="13" t="str">
        <f>IFERROR(VLOOKUP(C202,'Instrument Inventory'!$A$3:$U$202,2,FALSE),"")</f>
        <v/>
      </c>
      <c r="E202" s="13"/>
      <c r="F202" s="13"/>
      <c r="G202" s="13"/>
      <c r="H202" s="13"/>
      <c r="I202" s="13"/>
      <c r="J202" s="13"/>
      <c r="K202" s="17"/>
      <c r="L202" s="13"/>
      <c r="M202" s="14"/>
    </row>
  </sheetData>
  <mergeCells count="1">
    <mergeCell ref="A1:M1"/>
  </mergeCells>
  <dataValidations count="1">
    <dataValidation type="list" sqref="E3:E202" xr:uid="{00000000-0002-0000-0400-000000000000}">
      <formula1>"Routine Maintenance,Corrective Maintenance,Calibration,Inspection,Cleaning,Repair"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400-000001000000}">
          <x14:formula1>
            <xm:f>Lists!$D$4:$D$9</xm:f>
          </x14:formula1>
          <xm:sqref>L3:L202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02"/>
  <sheetViews>
    <sheetView workbookViewId="0"/>
  </sheetViews>
  <sheetFormatPr defaultRowHeight="13.5"/>
  <cols>
    <col min="1" max="1" width="14" customWidth="1"/>
    <col min="2" max="2" width="13" customWidth="1"/>
    <col min="3" max="4" width="11" customWidth="1"/>
    <col min="5" max="5" width="20" customWidth="1"/>
    <col min="6" max="6" width="30" customWidth="1"/>
    <col min="7" max="7" width="14" customWidth="1"/>
    <col min="8" max="8" width="25" customWidth="1"/>
    <col min="9" max="9" width="22" customWidth="1"/>
    <col min="10" max="10" width="18" customWidth="1"/>
    <col min="11" max="11" width="16" customWidth="1"/>
    <col min="12" max="12" width="28" customWidth="1"/>
  </cols>
  <sheetData>
    <row r="1" spans="1:12" ht="15" customHeight="1">
      <c r="A1" s="39" t="s">
        <v>88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</row>
    <row r="2" spans="1:12" ht="13.9">
      <c r="A2" s="2" t="s">
        <v>89</v>
      </c>
      <c r="B2" s="3" t="s">
        <v>52</v>
      </c>
      <c r="C2" s="3" t="s">
        <v>90</v>
      </c>
      <c r="D2" s="3" t="s">
        <v>91</v>
      </c>
      <c r="E2" s="3" t="s">
        <v>92</v>
      </c>
      <c r="F2" s="3" t="s">
        <v>93</v>
      </c>
      <c r="G2" s="3" t="s">
        <v>59</v>
      </c>
      <c r="H2" s="3" t="s">
        <v>60</v>
      </c>
      <c r="I2" s="3" t="s">
        <v>21</v>
      </c>
      <c r="J2" s="3" t="s">
        <v>94</v>
      </c>
      <c r="K2" s="3" t="s">
        <v>95</v>
      </c>
      <c r="L2" s="4" t="s">
        <v>49</v>
      </c>
    </row>
    <row r="3" spans="1:12">
      <c r="A3" s="7"/>
      <c r="B3" s="15"/>
      <c r="C3" s="24"/>
      <c r="D3" s="24"/>
      <c r="E3" s="8"/>
      <c r="F3" s="8"/>
      <c r="G3" s="8"/>
      <c r="H3" s="8" t="str">
        <f>IFERROR(VLOOKUP(G3,'Instrument Inventory'!$A$3:$U$202,2,FALSE),"")</f>
        <v/>
      </c>
      <c r="I3" s="8" t="str">
        <f>IFERROR(VLOOKUP(G3,'Instrument Inventory'!$A$3:$U$202,10,FALSE),"")</f>
        <v/>
      </c>
      <c r="J3" s="8"/>
      <c r="K3" s="8" t="str">
        <f t="shared" ref="K3:K34" si="0">IF(OR(B3="",C3="",D3="",G3=""),"",IF(COUNTIFS($B$3:$B$202,B3,$G$3:$G$202,G3,$C$3:$C$202,"&lt;"&amp;D3,$D$3:$D$202,"&gt;"&amp;C3)&gt;1,"CONFLICT","OK"))</f>
        <v/>
      </c>
      <c r="L3" s="9"/>
    </row>
    <row r="4" spans="1:12">
      <c r="A4" s="10"/>
      <c r="B4" s="16"/>
      <c r="C4" s="25"/>
      <c r="D4" s="25"/>
      <c r="E4" s="6"/>
      <c r="F4" s="6"/>
      <c r="G4" s="6"/>
      <c r="H4" s="6" t="str">
        <f>IFERROR(VLOOKUP(G4,'Instrument Inventory'!$A$3:$U$202,2,FALSE),"")</f>
        <v/>
      </c>
      <c r="I4" s="6" t="str">
        <f>IFERROR(VLOOKUP(G4,'Instrument Inventory'!$A$3:$U$202,10,FALSE),"")</f>
        <v/>
      </c>
      <c r="J4" s="6"/>
      <c r="K4" s="6" t="str">
        <f t="shared" si="0"/>
        <v/>
      </c>
      <c r="L4" s="11"/>
    </row>
    <row r="5" spans="1:12">
      <c r="A5" s="10"/>
      <c r="B5" s="16"/>
      <c r="C5" s="25"/>
      <c r="D5" s="25"/>
      <c r="E5" s="6"/>
      <c r="F5" s="6"/>
      <c r="G5" s="6"/>
      <c r="H5" s="6" t="str">
        <f>IFERROR(VLOOKUP(G5,'Instrument Inventory'!$A$3:$U$202,2,FALSE),"")</f>
        <v/>
      </c>
      <c r="I5" s="6" t="str">
        <f>IFERROR(VLOOKUP(G5,'Instrument Inventory'!$A$3:$U$202,10,FALSE),"")</f>
        <v/>
      </c>
      <c r="J5" s="6"/>
      <c r="K5" s="6" t="str">
        <f t="shared" si="0"/>
        <v/>
      </c>
      <c r="L5" s="11"/>
    </row>
    <row r="6" spans="1:12">
      <c r="A6" s="10"/>
      <c r="B6" s="16"/>
      <c r="C6" s="25"/>
      <c r="D6" s="25"/>
      <c r="E6" s="6"/>
      <c r="F6" s="6"/>
      <c r="G6" s="6"/>
      <c r="H6" s="6" t="str">
        <f>IFERROR(VLOOKUP(G6,'Instrument Inventory'!$A$3:$U$202,2,FALSE),"")</f>
        <v/>
      </c>
      <c r="I6" s="6" t="str">
        <f>IFERROR(VLOOKUP(G6,'Instrument Inventory'!$A$3:$U$202,10,FALSE),"")</f>
        <v/>
      </c>
      <c r="J6" s="6"/>
      <c r="K6" s="6" t="str">
        <f t="shared" si="0"/>
        <v/>
      </c>
      <c r="L6" s="11"/>
    </row>
    <row r="7" spans="1:12">
      <c r="A7" s="10"/>
      <c r="B7" s="16"/>
      <c r="C7" s="25"/>
      <c r="D7" s="25"/>
      <c r="E7" s="6"/>
      <c r="F7" s="6"/>
      <c r="G7" s="6"/>
      <c r="H7" s="6" t="str">
        <f>IFERROR(VLOOKUP(G7,'Instrument Inventory'!$A$3:$U$202,2,FALSE),"")</f>
        <v/>
      </c>
      <c r="I7" s="6" t="str">
        <f>IFERROR(VLOOKUP(G7,'Instrument Inventory'!$A$3:$U$202,10,FALSE),"")</f>
        <v/>
      </c>
      <c r="J7" s="6"/>
      <c r="K7" s="6" t="str">
        <f t="shared" si="0"/>
        <v/>
      </c>
      <c r="L7" s="11"/>
    </row>
    <row r="8" spans="1:12">
      <c r="A8" s="10"/>
      <c r="B8" s="16"/>
      <c r="C8" s="25"/>
      <c r="D8" s="25"/>
      <c r="E8" s="6"/>
      <c r="F8" s="6"/>
      <c r="G8" s="6"/>
      <c r="H8" s="6" t="str">
        <f>IFERROR(VLOOKUP(G8,'Instrument Inventory'!$A$3:$U$202,2,FALSE),"")</f>
        <v/>
      </c>
      <c r="I8" s="6" t="str">
        <f>IFERROR(VLOOKUP(G8,'Instrument Inventory'!$A$3:$U$202,10,FALSE),"")</f>
        <v/>
      </c>
      <c r="J8" s="6"/>
      <c r="K8" s="6" t="str">
        <f t="shared" si="0"/>
        <v/>
      </c>
      <c r="L8" s="11"/>
    </row>
    <row r="9" spans="1:12">
      <c r="A9" s="10"/>
      <c r="B9" s="16"/>
      <c r="C9" s="25"/>
      <c r="D9" s="25"/>
      <c r="E9" s="6"/>
      <c r="F9" s="6"/>
      <c r="G9" s="6"/>
      <c r="H9" s="6" t="str">
        <f>IFERROR(VLOOKUP(G9,'Instrument Inventory'!$A$3:$U$202,2,FALSE),"")</f>
        <v/>
      </c>
      <c r="I9" s="6" t="str">
        <f>IFERROR(VLOOKUP(G9,'Instrument Inventory'!$A$3:$U$202,10,FALSE),"")</f>
        <v/>
      </c>
      <c r="J9" s="6"/>
      <c r="K9" s="6" t="str">
        <f t="shared" si="0"/>
        <v/>
      </c>
      <c r="L9" s="11"/>
    </row>
    <row r="10" spans="1:12">
      <c r="A10" s="10"/>
      <c r="B10" s="16"/>
      <c r="C10" s="25"/>
      <c r="D10" s="25"/>
      <c r="E10" s="6"/>
      <c r="F10" s="6"/>
      <c r="G10" s="6"/>
      <c r="H10" s="6" t="str">
        <f>IFERROR(VLOOKUP(G10,'Instrument Inventory'!$A$3:$U$202,2,FALSE),"")</f>
        <v/>
      </c>
      <c r="I10" s="6" t="str">
        <f>IFERROR(VLOOKUP(G10,'Instrument Inventory'!$A$3:$U$202,10,FALSE),"")</f>
        <v/>
      </c>
      <c r="J10" s="6"/>
      <c r="K10" s="6" t="str">
        <f t="shared" si="0"/>
        <v/>
      </c>
      <c r="L10" s="11"/>
    </row>
    <row r="11" spans="1:12">
      <c r="A11" s="10"/>
      <c r="B11" s="16"/>
      <c r="C11" s="25"/>
      <c r="D11" s="25"/>
      <c r="E11" s="6"/>
      <c r="F11" s="6"/>
      <c r="G11" s="6"/>
      <c r="H11" s="6" t="str">
        <f>IFERROR(VLOOKUP(G11,'Instrument Inventory'!$A$3:$U$202,2,FALSE),"")</f>
        <v/>
      </c>
      <c r="I11" s="6" t="str">
        <f>IFERROR(VLOOKUP(G11,'Instrument Inventory'!$A$3:$U$202,10,FALSE),"")</f>
        <v/>
      </c>
      <c r="J11" s="6"/>
      <c r="K11" s="6" t="str">
        <f t="shared" si="0"/>
        <v/>
      </c>
      <c r="L11" s="11"/>
    </row>
    <row r="12" spans="1:12">
      <c r="A12" s="10"/>
      <c r="B12" s="16"/>
      <c r="C12" s="25"/>
      <c r="D12" s="25"/>
      <c r="E12" s="6"/>
      <c r="F12" s="6"/>
      <c r="G12" s="6"/>
      <c r="H12" s="6" t="str">
        <f>IFERROR(VLOOKUP(G12,'Instrument Inventory'!$A$3:$U$202,2,FALSE),"")</f>
        <v/>
      </c>
      <c r="I12" s="6" t="str">
        <f>IFERROR(VLOOKUP(G12,'Instrument Inventory'!$A$3:$U$202,10,FALSE),"")</f>
        <v/>
      </c>
      <c r="J12" s="6"/>
      <c r="K12" s="6" t="str">
        <f t="shared" si="0"/>
        <v/>
      </c>
      <c r="L12" s="11"/>
    </row>
    <row r="13" spans="1:12">
      <c r="A13" s="10"/>
      <c r="B13" s="16"/>
      <c r="C13" s="25"/>
      <c r="D13" s="25"/>
      <c r="E13" s="6"/>
      <c r="F13" s="6"/>
      <c r="G13" s="6"/>
      <c r="H13" s="6" t="str">
        <f>IFERROR(VLOOKUP(G13,'Instrument Inventory'!$A$3:$U$202,2,FALSE),"")</f>
        <v/>
      </c>
      <c r="I13" s="6" t="str">
        <f>IFERROR(VLOOKUP(G13,'Instrument Inventory'!$A$3:$U$202,10,FALSE),"")</f>
        <v/>
      </c>
      <c r="J13" s="6"/>
      <c r="K13" s="6" t="str">
        <f t="shared" si="0"/>
        <v/>
      </c>
      <c r="L13" s="11"/>
    </row>
    <row r="14" spans="1:12">
      <c r="A14" s="10"/>
      <c r="B14" s="16"/>
      <c r="C14" s="25"/>
      <c r="D14" s="25"/>
      <c r="E14" s="6"/>
      <c r="F14" s="6"/>
      <c r="G14" s="6"/>
      <c r="H14" s="6" t="str">
        <f>IFERROR(VLOOKUP(G14,'Instrument Inventory'!$A$3:$U$202,2,FALSE),"")</f>
        <v/>
      </c>
      <c r="I14" s="6" t="str">
        <f>IFERROR(VLOOKUP(G14,'Instrument Inventory'!$A$3:$U$202,10,FALSE),"")</f>
        <v/>
      </c>
      <c r="J14" s="6"/>
      <c r="K14" s="6" t="str">
        <f t="shared" si="0"/>
        <v/>
      </c>
      <c r="L14" s="11"/>
    </row>
    <row r="15" spans="1:12">
      <c r="A15" s="10"/>
      <c r="B15" s="16"/>
      <c r="C15" s="25"/>
      <c r="D15" s="25"/>
      <c r="E15" s="6"/>
      <c r="F15" s="6"/>
      <c r="G15" s="6"/>
      <c r="H15" s="6" t="str">
        <f>IFERROR(VLOOKUP(G15,'Instrument Inventory'!$A$3:$U$202,2,FALSE),"")</f>
        <v/>
      </c>
      <c r="I15" s="6" t="str">
        <f>IFERROR(VLOOKUP(G15,'Instrument Inventory'!$A$3:$U$202,10,FALSE),"")</f>
        <v/>
      </c>
      <c r="J15" s="6"/>
      <c r="K15" s="6" t="str">
        <f t="shared" si="0"/>
        <v/>
      </c>
      <c r="L15" s="11"/>
    </row>
    <row r="16" spans="1:12">
      <c r="A16" s="10"/>
      <c r="B16" s="16"/>
      <c r="C16" s="25"/>
      <c r="D16" s="25"/>
      <c r="E16" s="6"/>
      <c r="F16" s="6"/>
      <c r="G16" s="6"/>
      <c r="H16" s="6" t="str">
        <f>IFERROR(VLOOKUP(G16,'Instrument Inventory'!$A$3:$U$202,2,FALSE),"")</f>
        <v/>
      </c>
      <c r="I16" s="6" t="str">
        <f>IFERROR(VLOOKUP(G16,'Instrument Inventory'!$A$3:$U$202,10,FALSE),"")</f>
        <v/>
      </c>
      <c r="J16" s="6"/>
      <c r="K16" s="6" t="str">
        <f t="shared" si="0"/>
        <v/>
      </c>
      <c r="L16" s="11"/>
    </row>
    <row r="17" spans="1:12">
      <c r="A17" s="10"/>
      <c r="B17" s="16"/>
      <c r="C17" s="25"/>
      <c r="D17" s="25"/>
      <c r="E17" s="6"/>
      <c r="F17" s="6"/>
      <c r="G17" s="6"/>
      <c r="H17" s="6" t="str">
        <f>IFERROR(VLOOKUP(G17,'Instrument Inventory'!$A$3:$U$202,2,FALSE),"")</f>
        <v/>
      </c>
      <c r="I17" s="6" t="str">
        <f>IFERROR(VLOOKUP(G17,'Instrument Inventory'!$A$3:$U$202,10,FALSE),"")</f>
        <v/>
      </c>
      <c r="J17" s="6"/>
      <c r="K17" s="6" t="str">
        <f t="shared" si="0"/>
        <v/>
      </c>
      <c r="L17" s="11"/>
    </row>
    <row r="18" spans="1:12">
      <c r="A18" s="10"/>
      <c r="B18" s="16"/>
      <c r="C18" s="25"/>
      <c r="D18" s="25"/>
      <c r="E18" s="6"/>
      <c r="F18" s="6"/>
      <c r="G18" s="6"/>
      <c r="H18" s="6" t="str">
        <f>IFERROR(VLOOKUP(G18,'Instrument Inventory'!$A$3:$U$202,2,FALSE),"")</f>
        <v/>
      </c>
      <c r="I18" s="6" t="str">
        <f>IFERROR(VLOOKUP(G18,'Instrument Inventory'!$A$3:$U$202,10,FALSE),"")</f>
        <v/>
      </c>
      <c r="J18" s="6"/>
      <c r="K18" s="6" t="str">
        <f t="shared" si="0"/>
        <v/>
      </c>
      <c r="L18" s="11"/>
    </row>
    <row r="19" spans="1:12">
      <c r="A19" s="10"/>
      <c r="B19" s="16"/>
      <c r="C19" s="25"/>
      <c r="D19" s="25"/>
      <c r="E19" s="6"/>
      <c r="F19" s="6"/>
      <c r="G19" s="6"/>
      <c r="H19" s="6" t="str">
        <f>IFERROR(VLOOKUP(G19,'Instrument Inventory'!$A$3:$U$202,2,FALSE),"")</f>
        <v/>
      </c>
      <c r="I19" s="6" t="str">
        <f>IFERROR(VLOOKUP(G19,'Instrument Inventory'!$A$3:$U$202,10,FALSE),"")</f>
        <v/>
      </c>
      <c r="J19" s="6"/>
      <c r="K19" s="6" t="str">
        <f t="shared" si="0"/>
        <v/>
      </c>
      <c r="L19" s="11"/>
    </row>
    <row r="20" spans="1:12">
      <c r="A20" s="10"/>
      <c r="B20" s="16"/>
      <c r="C20" s="25"/>
      <c r="D20" s="25"/>
      <c r="E20" s="6"/>
      <c r="F20" s="6"/>
      <c r="G20" s="6"/>
      <c r="H20" s="6" t="str">
        <f>IFERROR(VLOOKUP(G20,'Instrument Inventory'!$A$3:$U$202,2,FALSE),"")</f>
        <v/>
      </c>
      <c r="I20" s="6" t="str">
        <f>IFERROR(VLOOKUP(G20,'Instrument Inventory'!$A$3:$U$202,10,FALSE),"")</f>
        <v/>
      </c>
      <c r="J20" s="6"/>
      <c r="K20" s="6" t="str">
        <f t="shared" si="0"/>
        <v/>
      </c>
      <c r="L20" s="11"/>
    </row>
    <row r="21" spans="1:12">
      <c r="A21" s="10"/>
      <c r="B21" s="16"/>
      <c r="C21" s="25"/>
      <c r="D21" s="25"/>
      <c r="E21" s="6"/>
      <c r="F21" s="6"/>
      <c r="G21" s="6"/>
      <c r="H21" s="6" t="str">
        <f>IFERROR(VLOOKUP(G21,'Instrument Inventory'!$A$3:$U$202,2,FALSE),"")</f>
        <v/>
      </c>
      <c r="I21" s="6" t="str">
        <f>IFERROR(VLOOKUP(G21,'Instrument Inventory'!$A$3:$U$202,10,FALSE),"")</f>
        <v/>
      </c>
      <c r="J21" s="6"/>
      <c r="K21" s="6" t="str">
        <f t="shared" si="0"/>
        <v/>
      </c>
      <c r="L21" s="11"/>
    </row>
    <row r="22" spans="1:12">
      <c r="A22" s="10"/>
      <c r="B22" s="16"/>
      <c r="C22" s="25"/>
      <c r="D22" s="25"/>
      <c r="E22" s="6"/>
      <c r="F22" s="6"/>
      <c r="G22" s="6"/>
      <c r="H22" s="6" t="str">
        <f>IFERROR(VLOOKUP(G22,'Instrument Inventory'!$A$3:$U$202,2,FALSE),"")</f>
        <v/>
      </c>
      <c r="I22" s="6" t="str">
        <f>IFERROR(VLOOKUP(G22,'Instrument Inventory'!$A$3:$U$202,10,FALSE),"")</f>
        <v/>
      </c>
      <c r="J22" s="6"/>
      <c r="K22" s="6" t="str">
        <f t="shared" si="0"/>
        <v/>
      </c>
      <c r="L22" s="11"/>
    </row>
    <row r="23" spans="1:12">
      <c r="A23" s="10"/>
      <c r="B23" s="16"/>
      <c r="C23" s="25"/>
      <c r="D23" s="25"/>
      <c r="E23" s="6"/>
      <c r="F23" s="6"/>
      <c r="G23" s="6"/>
      <c r="H23" s="6" t="str">
        <f>IFERROR(VLOOKUP(G23,'Instrument Inventory'!$A$3:$U$202,2,FALSE),"")</f>
        <v/>
      </c>
      <c r="I23" s="6" t="str">
        <f>IFERROR(VLOOKUP(G23,'Instrument Inventory'!$A$3:$U$202,10,FALSE),"")</f>
        <v/>
      </c>
      <c r="J23" s="6"/>
      <c r="K23" s="6" t="str">
        <f t="shared" si="0"/>
        <v/>
      </c>
      <c r="L23" s="11"/>
    </row>
    <row r="24" spans="1:12">
      <c r="A24" s="10"/>
      <c r="B24" s="16"/>
      <c r="C24" s="25"/>
      <c r="D24" s="25"/>
      <c r="E24" s="6"/>
      <c r="F24" s="6"/>
      <c r="G24" s="6"/>
      <c r="H24" s="6" t="str">
        <f>IFERROR(VLOOKUP(G24,'Instrument Inventory'!$A$3:$U$202,2,FALSE),"")</f>
        <v/>
      </c>
      <c r="I24" s="6" t="str">
        <f>IFERROR(VLOOKUP(G24,'Instrument Inventory'!$A$3:$U$202,10,FALSE),"")</f>
        <v/>
      </c>
      <c r="J24" s="6"/>
      <c r="K24" s="6" t="str">
        <f t="shared" si="0"/>
        <v/>
      </c>
      <c r="L24" s="11"/>
    </row>
    <row r="25" spans="1:12">
      <c r="A25" s="10"/>
      <c r="B25" s="16"/>
      <c r="C25" s="25"/>
      <c r="D25" s="25"/>
      <c r="E25" s="6"/>
      <c r="F25" s="6"/>
      <c r="G25" s="6"/>
      <c r="H25" s="6" t="str">
        <f>IFERROR(VLOOKUP(G25,'Instrument Inventory'!$A$3:$U$202,2,FALSE),"")</f>
        <v/>
      </c>
      <c r="I25" s="6" t="str">
        <f>IFERROR(VLOOKUP(G25,'Instrument Inventory'!$A$3:$U$202,10,FALSE),"")</f>
        <v/>
      </c>
      <c r="J25" s="6"/>
      <c r="K25" s="6" t="str">
        <f t="shared" si="0"/>
        <v/>
      </c>
      <c r="L25" s="11"/>
    </row>
    <row r="26" spans="1:12">
      <c r="A26" s="10"/>
      <c r="B26" s="16"/>
      <c r="C26" s="25"/>
      <c r="D26" s="25"/>
      <c r="E26" s="6"/>
      <c r="F26" s="6"/>
      <c r="G26" s="6"/>
      <c r="H26" s="6" t="str">
        <f>IFERROR(VLOOKUP(G26,'Instrument Inventory'!$A$3:$U$202,2,FALSE),"")</f>
        <v/>
      </c>
      <c r="I26" s="6" t="str">
        <f>IFERROR(VLOOKUP(G26,'Instrument Inventory'!$A$3:$U$202,10,FALSE),"")</f>
        <v/>
      </c>
      <c r="J26" s="6"/>
      <c r="K26" s="6" t="str">
        <f t="shared" si="0"/>
        <v/>
      </c>
      <c r="L26" s="11"/>
    </row>
    <row r="27" spans="1:12">
      <c r="A27" s="10"/>
      <c r="B27" s="16"/>
      <c r="C27" s="25"/>
      <c r="D27" s="25"/>
      <c r="E27" s="6"/>
      <c r="F27" s="6"/>
      <c r="G27" s="6"/>
      <c r="H27" s="6" t="str">
        <f>IFERROR(VLOOKUP(G27,'Instrument Inventory'!$A$3:$U$202,2,FALSE),"")</f>
        <v/>
      </c>
      <c r="I27" s="6" t="str">
        <f>IFERROR(VLOOKUP(G27,'Instrument Inventory'!$A$3:$U$202,10,FALSE),"")</f>
        <v/>
      </c>
      <c r="J27" s="6"/>
      <c r="K27" s="6" t="str">
        <f t="shared" si="0"/>
        <v/>
      </c>
      <c r="L27" s="11"/>
    </row>
    <row r="28" spans="1:12">
      <c r="A28" s="10"/>
      <c r="B28" s="16"/>
      <c r="C28" s="25"/>
      <c r="D28" s="25"/>
      <c r="E28" s="6"/>
      <c r="F28" s="6"/>
      <c r="G28" s="6"/>
      <c r="H28" s="6" t="str">
        <f>IFERROR(VLOOKUP(G28,'Instrument Inventory'!$A$3:$U$202,2,FALSE),"")</f>
        <v/>
      </c>
      <c r="I28" s="6" t="str">
        <f>IFERROR(VLOOKUP(G28,'Instrument Inventory'!$A$3:$U$202,10,FALSE),"")</f>
        <v/>
      </c>
      <c r="J28" s="6"/>
      <c r="K28" s="6" t="str">
        <f t="shared" si="0"/>
        <v/>
      </c>
      <c r="L28" s="11"/>
    </row>
    <row r="29" spans="1:12">
      <c r="A29" s="10"/>
      <c r="B29" s="16"/>
      <c r="C29" s="25"/>
      <c r="D29" s="25"/>
      <c r="E29" s="6"/>
      <c r="F29" s="6"/>
      <c r="G29" s="6"/>
      <c r="H29" s="6" t="str">
        <f>IFERROR(VLOOKUP(G29,'Instrument Inventory'!$A$3:$U$202,2,FALSE),"")</f>
        <v/>
      </c>
      <c r="I29" s="6" t="str">
        <f>IFERROR(VLOOKUP(G29,'Instrument Inventory'!$A$3:$U$202,10,FALSE),"")</f>
        <v/>
      </c>
      <c r="J29" s="6"/>
      <c r="K29" s="6" t="str">
        <f t="shared" si="0"/>
        <v/>
      </c>
      <c r="L29" s="11"/>
    </row>
    <row r="30" spans="1:12">
      <c r="A30" s="10"/>
      <c r="B30" s="16"/>
      <c r="C30" s="25"/>
      <c r="D30" s="25"/>
      <c r="E30" s="6"/>
      <c r="F30" s="6"/>
      <c r="G30" s="6"/>
      <c r="H30" s="6" t="str">
        <f>IFERROR(VLOOKUP(G30,'Instrument Inventory'!$A$3:$U$202,2,FALSE),"")</f>
        <v/>
      </c>
      <c r="I30" s="6" t="str">
        <f>IFERROR(VLOOKUP(G30,'Instrument Inventory'!$A$3:$U$202,10,FALSE),"")</f>
        <v/>
      </c>
      <c r="J30" s="6"/>
      <c r="K30" s="6" t="str">
        <f t="shared" si="0"/>
        <v/>
      </c>
      <c r="L30" s="11"/>
    </row>
    <row r="31" spans="1:12">
      <c r="A31" s="10"/>
      <c r="B31" s="16"/>
      <c r="C31" s="25"/>
      <c r="D31" s="25"/>
      <c r="E31" s="6"/>
      <c r="F31" s="6"/>
      <c r="G31" s="6"/>
      <c r="H31" s="6" t="str">
        <f>IFERROR(VLOOKUP(G31,'Instrument Inventory'!$A$3:$U$202,2,FALSE),"")</f>
        <v/>
      </c>
      <c r="I31" s="6" t="str">
        <f>IFERROR(VLOOKUP(G31,'Instrument Inventory'!$A$3:$U$202,10,FALSE),"")</f>
        <v/>
      </c>
      <c r="J31" s="6"/>
      <c r="K31" s="6" t="str">
        <f t="shared" si="0"/>
        <v/>
      </c>
      <c r="L31" s="11"/>
    </row>
    <row r="32" spans="1:12">
      <c r="A32" s="10"/>
      <c r="B32" s="16"/>
      <c r="C32" s="25"/>
      <c r="D32" s="25"/>
      <c r="E32" s="6"/>
      <c r="F32" s="6"/>
      <c r="G32" s="6"/>
      <c r="H32" s="6" t="str">
        <f>IFERROR(VLOOKUP(G32,'Instrument Inventory'!$A$3:$U$202,2,FALSE),"")</f>
        <v/>
      </c>
      <c r="I32" s="6" t="str">
        <f>IFERROR(VLOOKUP(G32,'Instrument Inventory'!$A$3:$U$202,10,FALSE),"")</f>
        <v/>
      </c>
      <c r="J32" s="6"/>
      <c r="K32" s="6" t="str">
        <f t="shared" si="0"/>
        <v/>
      </c>
      <c r="L32" s="11"/>
    </row>
    <row r="33" spans="1:12">
      <c r="A33" s="10"/>
      <c r="B33" s="16"/>
      <c r="C33" s="25"/>
      <c r="D33" s="25"/>
      <c r="E33" s="6"/>
      <c r="F33" s="6"/>
      <c r="G33" s="6"/>
      <c r="H33" s="6" t="str">
        <f>IFERROR(VLOOKUP(G33,'Instrument Inventory'!$A$3:$U$202,2,FALSE),"")</f>
        <v/>
      </c>
      <c r="I33" s="6" t="str">
        <f>IFERROR(VLOOKUP(G33,'Instrument Inventory'!$A$3:$U$202,10,FALSE),"")</f>
        <v/>
      </c>
      <c r="J33" s="6"/>
      <c r="K33" s="6" t="str">
        <f t="shared" si="0"/>
        <v/>
      </c>
      <c r="L33" s="11"/>
    </row>
    <row r="34" spans="1:12">
      <c r="A34" s="10"/>
      <c r="B34" s="16"/>
      <c r="C34" s="25"/>
      <c r="D34" s="25"/>
      <c r="E34" s="6"/>
      <c r="F34" s="6"/>
      <c r="G34" s="6"/>
      <c r="H34" s="6" t="str">
        <f>IFERROR(VLOOKUP(G34,'Instrument Inventory'!$A$3:$U$202,2,FALSE),"")</f>
        <v/>
      </c>
      <c r="I34" s="6" t="str">
        <f>IFERROR(VLOOKUP(G34,'Instrument Inventory'!$A$3:$U$202,10,FALSE),"")</f>
        <v/>
      </c>
      <c r="J34" s="6"/>
      <c r="K34" s="6" t="str">
        <f t="shared" si="0"/>
        <v/>
      </c>
      <c r="L34" s="11"/>
    </row>
    <row r="35" spans="1:12">
      <c r="A35" s="10"/>
      <c r="B35" s="16"/>
      <c r="C35" s="25"/>
      <c r="D35" s="25"/>
      <c r="E35" s="6"/>
      <c r="F35" s="6"/>
      <c r="G35" s="6"/>
      <c r="H35" s="6" t="str">
        <f>IFERROR(VLOOKUP(G35,'Instrument Inventory'!$A$3:$U$202,2,FALSE),"")</f>
        <v/>
      </c>
      <c r="I35" s="6" t="str">
        <f>IFERROR(VLOOKUP(G35,'Instrument Inventory'!$A$3:$U$202,10,FALSE),"")</f>
        <v/>
      </c>
      <c r="J35" s="6"/>
      <c r="K35" s="6" t="str">
        <f t="shared" ref="K35:K66" si="1">IF(OR(B35="",C35="",D35="",G35=""),"",IF(COUNTIFS($B$3:$B$202,B35,$G$3:$G$202,G35,$C$3:$C$202,"&lt;"&amp;D35,$D$3:$D$202,"&gt;"&amp;C35)&gt;1,"CONFLICT","OK"))</f>
        <v/>
      </c>
      <c r="L35" s="11"/>
    </row>
    <row r="36" spans="1:12">
      <c r="A36" s="10"/>
      <c r="B36" s="16"/>
      <c r="C36" s="25"/>
      <c r="D36" s="25"/>
      <c r="E36" s="6"/>
      <c r="F36" s="6"/>
      <c r="G36" s="6"/>
      <c r="H36" s="6" t="str">
        <f>IFERROR(VLOOKUP(G36,'Instrument Inventory'!$A$3:$U$202,2,FALSE),"")</f>
        <v/>
      </c>
      <c r="I36" s="6" t="str">
        <f>IFERROR(VLOOKUP(G36,'Instrument Inventory'!$A$3:$U$202,10,FALSE),"")</f>
        <v/>
      </c>
      <c r="J36" s="6"/>
      <c r="K36" s="6" t="str">
        <f t="shared" si="1"/>
        <v/>
      </c>
      <c r="L36" s="11"/>
    </row>
    <row r="37" spans="1:12">
      <c r="A37" s="10"/>
      <c r="B37" s="16"/>
      <c r="C37" s="25"/>
      <c r="D37" s="25"/>
      <c r="E37" s="6"/>
      <c r="F37" s="6"/>
      <c r="G37" s="6"/>
      <c r="H37" s="6" t="str">
        <f>IFERROR(VLOOKUP(G37,'Instrument Inventory'!$A$3:$U$202,2,FALSE),"")</f>
        <v/>
      </c>
      <c r="I37" s="6" t="str">
        <f>IFERROR(VLOOKUP(G37,'Instrument Inventory'!$A$3:$U$202,10,FALSE),"")</f>
        <v/>
      </c>
      <c r="J37" s="6"/>
      <c r="K37" s="6" t="str">
        <f t="shared" si="1"/>
        <v/>
      </c>
      <c r="L37" s="11"/>
    </row>
    <row r="38" spans="1:12">
      <c r="A38" s="10"/>
      <c r="B38" s="16"/>
      <c r="C38" s="25"/>
      <c r="D38" s="25"/>
      <c r="E38" s="6"/>
      <c r="F38" s="6"/>
      <c r="G38" s="6"/>
      <c r="H38" s="6" t="str">
        <f>IFERROR(VLOOKUP(G38,'Instrument Inventory'!$A$3:$U$202,2,FALSE),"")</f>
        <v/>
      </c>
      <c r="I38" s="6" t="str">
        <f>IFERROR(VLOOKUP(G38,'Instrument Inventory'!$A$3:$U$202,10,FALSE),"")</f>
        <v/>
      </c>
      <c r="J38" s="6"/>
      <c r="K38" s="6" t="str">
        <f t="shared" si="1"/>
        <v/>
      </c>
      <c r="L38" s="11"/>
    </row>
    <row r="39" spans="1:12">
      <c r="A39" s="10"/>
      <c r="B39" s="16"/>
      <c r="C39" s="25"/>
      <c r="D39" s="25"/>
      <c r="E39" s="6"/>
      <c r="F39" s="6"/>
      <c r="G39" s="6"/>
      <c r="H39" s="6" t="str">
        <f>IFERROR(VLOOKUP(G39,'Instrument Inventory'!$A$3:$U$202,2,FALSE),"")</f>
        <v/>
      </c>
      <c r="I39" s="6" t="str">
        <f>IFERROR(VLOOKUP(G39,'Instrument Inventory'!$A$3:$U$202,10,FALSE),"")</f>
        <v/>
      </c>
      <c r="J39" s="6"/>
      <c r="K39" s="6" t="str">
        <f t="shared" si="1"/>
        <v/>
      </c>
      <c r="L39" s="11"/>
    </row>
    <row r="40" spans="1:12">
      <c r="A40" s="10"/>
      <c r="B40" s="16"/>
      <c r="C40" s="25"/>
      <c r="D40" s="25"/>
      <c r="E40" s="6"/>
      <c r="F40" s="6"/>
      <c r="G40" s="6"/>
      <c r="H40" s="6" t="str">
        <f>IFERROR(VLOOKUP(G40,'Instrument Inventory'!$A$3:$U$202,2,FALSE),"")</f>
        <v/>
      </c>
      <c r="I40" s="6" t="str">
        <f>IFERROR(VLOOKUP(G40,'Instrument Inventory'!$A$3:$U$202,10,FALSE),"")</f>
        <v/>
      </c>
      <c r="J40" s="6"/>
      <c r="K40" s="6" t="str">
        <f t="shared" si="1"/>
        <v/>
      </c>
      <c r="L40" s="11"/>
    </row>
    <row r="41" spans="1:12">
      <c r="A41" s="10"/>
      <c r="B41" s="16"/>
      <c r="C41" s="25"/>
      <c r="D41" s="25"/>
      <c r="E41" s="6"/>
      <c r="F41" s="6"/>
      <c r="G41" s="6"/>
      <c r="H41" s="6" t="str">
        <f>IFERROR(VLOOKUP(G41,'Instrument Inventory'!$A$3:$U$202,2,FALSE),"")</f>
        <v/>
      </c>
      <c r="I41" s="6" t="str">
        <f>IFERROR(VLOOKUP(G41,'Instrument Inventory'!$A$3:$U$202,10,FALSE),"")</f>
        <v/>
      </c>
      <c r="J41" s="6"/>
      <c r="K41" s="6" t="str">
        <f t="shared" si="1"/>
        <v/>
      </c>
      <c r="L41" s="11"/>
    </row>
    <row r="42" spans="1:12">
      <c r="A42" s="10"/>
      <c r="B42" s="16"/>
      <c r="C42" s="25"/>
      <c r="D42" s="25"/>
      <c r="E42" s="6"/>
      <c r="F42" s="6"/>
      <c r="G42" s="6"/>
      <c r="H42" s="6" t="str">
        <f>IFERROR(VLOOKUP(G42,'Instrument Inventory'!$A$3:$U$202,2,FALSE),"")</f>
        <v/>
      </c>
      <c r="I42" s="6" t="str">
        <f>IFERROR(VLOOKUP(G42,'Instrument Inventory'!$A$3:$U$202,10,FALSE),"")</f>
        <v/>
      </c>
      <c r="J42" s="6"/>
      <c r="K42" s="6" t="str">
        <f t="shared" si="1"/>
        <v/>
      </c>
      <c r="L42" s="11"/>
    </row>
    <row r="43" spans="1:12">
      <c r="A43" s="10"/>
      <c r="B43" s="16"/>
      <c r="C43" s="25"/>
      <c r="D43" s="25"/>
      <c r="E43" s="6"/>
      <c r="F43" s="6"/>
      <c r="G43" s="6"/>
      <c r="H43" s="6" t="str">
        <f>IFERROR(VLOOKUP(G43,'Instrument Inventory'!$A$3:$U$202,2,FALSE),"")</f>
        <v/>
      </c>
      <c r="I43" s="6" t="str">
        <f>IFERROR(VLOOKUP(G43,'Instrument Inventory'!$A$3:$U$202,10,FALSE),"")</f>
        <v/>
      </c>
      <c r="J43" s="6"/>
      <c r="K43" s="6" t="str">
        <f t="shared" si="1"/>
        <v/>
      </c>
      <c r="L43" s="11"/>
    </row>
    <row r="44" spans="1:12">
      <c r="A44" s="10"/>
      <c r="B44" s="16"/>
      <c r="C44" s="25"/>
      <c r="D44" s="25"/>
      <c r="E44" s="6"/>
      <c r="F44" s="6"/>
      <c r="G44" s="6"/>
      <c r="H44" s="6" t="str">
        <f>IFERROR(VLOOKUP(G44,'Instrument Inventory'!$A$3:$U$202,2,FALSE),"")</f>
        <v/>
      </c>
      <c r="I44" s="6" t="str">
        <f>IFERROR(VLOOKUP(G44,'Instrument Inventory'!$A$3:$U$202,10,FALSE),"")</f>
        <v/>
      </c>
      <c r="J44" s="6"/>
      <c r="K44" s="6" t="str">
        <f t="shared" si="1"/>
        <v/>
      </c>
      <c r="L44" s="11"/>
    </row>
    <row r="45" spans="1:12">
      <c r="A45" s="10"/>
      <c r="B45" s="16"/>
      <c r="C45" s="25"/>
      <c r="D45" s="25"/>
      <c r="E45" s="6"/>
      <c r="F45" s="6"/>
      <c r="G45" s="6"/>
      <c r="H45" s="6" t="str">
        <f>IFERROR(VLOOKUP(G45,'Instrument Inventory'!$A$3:$U$202,2,FALSE),"")</f>
        <v/>
      </c>
      <c r="I45" s="6" t="str">
        <f>IFERROR(VLOOKUP(G45,'Instrument Inventory'!$A$3:$U$202,10,FALSE),"")</f>
        <v/>
      </c>
      <c r="J45" s="6"/>
      <c r="K45" s="6" t="str">
        <f t="shared" si="1"/>
        <v/>
      </c>
      <c r="L45" s="11"/>
    </row>
    <row r="46" spans="1:12">
      <c r="A46" s="10"/>
      <c r="B46" s="16"/>
      <c r="C46" s="25"/>
      <c r="D46" s="25"/>
      <c r="E46" s="6"/>
      <c r="F46" s="6"/>
      <c r="G46" s="6"/>
      <c r="H46" s="6" t="str">
        <f>IFERROR(VLOOKUP(G46,'Instrument Inventory'!$A$3:$U$202,2,FALSE),"")</f>
        <v/>
      </c>
      <c r="I46" s="6" t="str">
        <f>IFERROR(VLOOKUP(G46,'Instrument Inventory'!$A$3:$U$202,10,FALSE),"")</f>
        <v/>
      </c>
      <c r="J46" s="6"/>
      <c r="K46" s="6" t="str">
        <f t="shared" si="1"/>
        <v/>
      </c>
      <c r="L46" s="11"/>
    </row>
    <row r="47" spans="1:12">
      <c r="A47" s="10"/>
      <c r="B47" s="16"/>
      <c r="C47" s="25"/>
      <c r="D47" s="25"/>
      <c r="E47" s="6"/>
      <c r="F47" s="6"/>
      <c r="G47" s="6"/>
      <c r="H47" s="6" t="str">
        <f>IFERROR(VLOOKUP(G47,'Instrument Inventory'!$A$3:$U$202,2,FALSE),"")</f>
        <v/>
      </c>
      <c r="I47" s="6" t="str">
        <f>IFERROR(VLOOKUP(G47,'Instrument Inventory'!$A$3:$U$202,10,FALSE),"")</f>
        <v/>
      </c>
      <c r="J47" s="6"/>
      <c r="K47" s="6" t="str">
        <f t="shared" si="1"/>
        <v/>
      </c>
      <c r="L47" s="11"/>
    </row>
    <row r="48" spans="1:12">
      <c r="A48" s="10"/>
      <c r="B48" s="16"/>
      <c r="C48" s="25"/>
      <c r="D48" s="25"/>
      <c r="E48" s="6"/>
      <c r="F48" s="6"/>
      <c r="G48" s="6"/>
      <c r="H48" s="6" t="str">
        <f>IFERROR(VLOOKUP(G48,'Instrument Inventory'!$A$3:$U$202,2,FALSE),"")</f>
        <v/>
      </c>
      <c r="I48" s="6" t="str">
        <f>IFERROR(VLOOKUP(G48,'Instrument Inventory'!$A$3:$U$202,10,FALSE),"")</f>
        <v/>
      </c>
      <c r="J48" s="6"/>
      <c r="K48" s="6" t="str">
        <f t="shared" si="1"/>
        <v/>
      </c>
      <c r="L48" s="11"/>
    </row>
    <row r="49" spans="1:12">
      <c r="A49" s="10"/>
      <c r="B49" s="16"/>
      <c r="C49" s="25"/>
      <c r="D49" s="25"/>
      <c r="E49" s="6"/>
      <c r="F49" s="6"/>
      <c r="G49" s="6"/>
      <c r="H49" s="6" t="str">
        <f>IFERROR(VLOOKUP(G49,'Instrument Inventory'!$A$3:$U$202,2,FALSE),"")</f>
        <v/>
      </c>
      <c r="I49" s="6" t="str">
        <f>IFERROR(VLOOKUP(G49,'Instrument Inventory'!$A$3:$U$202,10,FALSE),"")</f>
        <v/>
      </c>
      <c r="J49" s="6"/>
      <c r="K49" s="6" t="str">
        <f t="shared" si="1"/>
        <v/>
      </c>
      <c r="L49" s="11"/>
    </row>
    <row r="50" spans="1:12">
      <c r="A50" s="10"/>
      <c r="B50" s="16"/>
      <c r="C50" s="25"/>
      <c r="D50" s="25"/>
      <c r="E50" s="6"/>
      <c r="F50" s="6"/>
      <c r="G50" s="6"/>
      <c r="H50" s="6" t="str">
        <f>IFERROR(VLOOKUP(G50,'Instrument Inventory'!$A$3:$U$202,2,FALSE),"")</f>
        <v/>
      </c>
      <c r="I50" s="6" t="str">
        <f>IFERROR(VLOOKUP(G50,'Instrument Inventory'!$A$3:$U$202,10,FALSE),"")</f>
        <v/>
      </c>
      <c r="J50" s="6"/>
      <c r="K50" s="6" t="str">
        <f t="shared" si="1"/>
        <v/>
      </c>
      <c r="L50" s="11"/>
    </row>
    <row r="51" spans="1:12">
      <c r="A51" s="10"/>
      <c r="B51" s="16"/>
      <c r="C51" s="25"/>
      <c r="D51" s="25"/>
      <c r="E51" s="6"/>
      <c r="F51" s="6"/>
      <c r="G51" s="6"/>
      <c r="H51" s="6" t="str">
        <f>IFERROR(VLOOKUP(G51,'Instrument Inventory'!$A$3:$U$202,2,FALSE),"")</f>
        <v/>
      </c>
      <c r="I51" s="6" t="str">
        <f>IFERROR(VLOOKUP(G51,'Instrument Inventory'!$A$3:$U$202,10,FALSE),"")</f>
        <v/>
      </c>
      <c r="J51" s="6"/>
      <c r="K51" s="6" t="str">
        <f t="shared" si="1"/>
        <v/>
      </c>
      <c r="L51" s="11"/>
    </row>
    <row r="52" spans="1:12">
      <c r="A52" s="10"/>
      <c r="B52" s="16"/>
      <c r="C52" s="25"/>
      <c r="D52" s="25"/>
      <c r="E52" s="6"/>
      <c r="F52" s="6"/>
      <c r="G52" s="6"/>
      <c r="H52" s="6" t="str">
        <f>IFERROR(VLOOKUP(G52,'Instrument Inventory'!$A$3:$U$202,2,FALSE),"")</f>
        <v/>
      </c>
      <c r="I52" s="6" t="str">
        <f>IFERROR(VLOOKUP(G52,'Instrument Inventory'!$A$3:$U$202,10,FALSE),"")</f>
        <v/>
      </c>
      <c r="J52" s="6"/>
      <c r="K52" s="6" t="str">
        <f t="shared" si="1"/>
        <v/>
      </c>
      <c r="L52" s="11"/>
    </row>
    <row r="53" spans="1:12">
      <c r="A53" s="10"/>
      <c r="B53" s="16"/>
      <c r="C53" s="25"/>
      <c r="D53" s="25"/>
      <c r="E53" s="6"/>
      <c r="F53" s="6"/>
      <c r="G53" s="6"/>
      <c r="H53" s="6" t="str">
        <f>IFERROR(VLOOKUP(G53,'Instrument Inventory'!$A$3:$U$202,2,FALSE),"")</f>
        <v/>
      </c>
      <c r="I53" s="6" t="str">
        <f>IFERROR(VLOOKUP(G53,'Instrument Inventory'!$A$3:$U$202,10,FALSE),"")</f>
        <v/>
      </c>
      <c r="J53" s="6"/>
      <c r="K53" s="6" t="str">
        <f t="shared" si="1"/>
        <v/>
      </c>
      <c r="L53" s="11"/>
    </row>
    <row r="54" spans="1:12">
      <c r="A54" s="10"/>
      <c r="B54" s="16"/>
      <c r="C54" s="25"/>
      <c r="D54" s="25"/>
      <c r="E54" s="6"/>
      <c r="F54" s="6"/>
      <c r="G54" s="6"/>
      <c r="H54" s="6" t="str">
        <f>IFERROR(VLOOKUP(G54,'Instrument Inventory'!$A$3:$U$202,2,FALSE),"")</f>
        <v/>
      </c>
      <c r="I54" s="6" t="str">
        <f>IFERROR(VLOOKUP(G54,'Instrument Inventory'!$A$3:$U$202,10,FALSE),"")</f>
        <v/>
      </c>
      <c r="J54" s="6"/>
      <c r="K54" s="6" t="str">
        <f t="shared" si="1"/>
        <v/>
      </c>
      <c r="L54" s="11"/>
    </row>
    <row r="55" spans="1:12">
      <c r="A55" s="10"/>
      <c r="B55" s="16"/>
      <c r="C55" s="25"/>
      <c r="D55" s="25"/>
      <c r="E55" s="6"/>
      <c r="F55" s="6"/>
      <c r="G55" s="6"/>
      <c r="H55" s="6" t="str">
        <f>IFERROR(VLOOKUP(G55,'Instrument Inventory'!$A$3:$U$202,2,FALSE),"")</f>
        <v/>
      </c>
      <c r="I55" s="6" t="str">
        <f>IFERROR(VLOOKUP(G55,'Instrument Inventory'!$A$3:$U$202,10,FALSE),"")</f>
        <v/>
      </c>
      <c r="J55" s="6"/>
      <c r="K55" s="6" t="str">
        <f t="shared" si="1"/>
        <v/>
      </c>
      <c r="L55" s="11"/>
    </row>
    <row r="56" spans="1:12">
      <c r="A56" s="10"/>
      <c r="B56" s="16"/>
      <c r="C56" s="25"/>
      <c r="D56" s="25"/>
      <c r="E56" s="6"/>
      <c r="F56" s="6"/>
      <c r="G56" s="6"/>
      <c r="H56" s="6" t="str">
        <f>IFERROR(VLOOKUP(G56,'Instrument Inventory'!$A$3:$U$202,2,FALSE),"")</f>
        <v/>
      </c>
      <c r="I56" s="6" t="str">
        <f>IFERROR(VLOOKUP(G56,'Instrument Inventory'!$A$3:$U$202,10,FALSE),"")</f>
        <v/>
      </c>
      <c r="J56" s="6"/>
      <c r="K56" s="6" t="str">
        <f t="shared" si="1"/>
        <v/>
      </c>
      <c r="L56" s="11"/>
    </row>
    <row r="57" spans="1:12">
      <c r="A57" s="10"/>
      <c r="B57" s="16"/>
      <c r="C57" s="25"/>
      <c r="D57" s="25"/>
      <c r="E57" s="6"/>
      <c r="F57" s="6"/>
      <c r="G57" s="6"/>
      <c r="H57" s="6" t="str">
        <f>IFERROR(VLOOKUP(G57,'Instrument Inventory'!$A$3:$U$202,2,FALSE),"")</f>
        <v/>
      </c>
      <c r="I57" s="6" t="str">
        <f>IFERROR(VLOOKUP(G57,'Instrument Inventory'!$A$3:$U$202,10,FALSE),"")</f>
        <v/>
      </c>
      <c r="J57" s="6"/>
      <c r="K57" s="6" t="str">
        <f t="shared" si="1"/>
        <v/>
      </c>
      <c r="L57" s="11"/>
    </row>
    <row r="58" spans="1:12">
      <c r="A58" s="10"/>
      <c r="B58" s="16"/>
      <c r="C58" s="25"/>
      <c r="D58" s="25"/>
      <c r="E58" s="6"/>
      <c r="F58" s="6"/>
      <c r="G58" s="6"/>
      <c r="H58" s="6" t="str">
        <f>IFERROR(VLOOKUP(G58,'Instrument Inventory'!$A$3:$U$202,2,FALSE),"")</f>
        <v/>
      </c>
      <c r="I58" s="6" t="str">
        <f>IFERROR(VLOOKUP(G58,'Instrument Inventory'!$A$3:$U$202,10,FALSE),"")</f>
        <v/>
      </c>
      <c r="J58" s="6"/>
      <c r="K58" s="6" t="str">
        <f t="shared" si="1"/>
        <v/>
      </c>
      <c r="L58" s="11"/>
    </row>
    <row r="59" spans="1:12">
      <c r="A59" s="10"/>
      <c r="B59" s="16"/>
      <c r="C59" s="25"/>
      <c r="D59" s="25"/>
      <c r="E59" s="6"/>
      <c r="F59" s="6"/>
      <c r="G59" s="6"/>
      <c r="H59" s="6" t="str">
        <f>IFERROR(VLOOKUP(G59,'Instrument Inventory'!$A$3:$U$202,2,FALSE),"")</f>
        <v/>
      </c>
      <c r="I59" s="6" t="str">
        <f>IFERROR(VLOOKUP(G59,'Instrument Inventory'!$A$3:$U$202,10,FALSE),"")</f>
        <v/>
      </c>
      <c r="J59" s="6"/>
      <c r="K59" s="6" t="str">
        <f t="shared" si="1"/>
        <v/>
      </c>
      <c r="L59" s="11"/>
    </row>
    <row r="60" spans="1:12">
      <c r="A60" s="10"/>
      <c r="B60" s="16"/>
      <c r="C60" s="25"/>
      <c r="D60" s="25"/>
      <c r="E60" s="6"/>
      <c r="F60" s="6"/>
      <c r="G60" s="6"/>
      <c r="H60" s="6" t="str">
        <f>IFERROR(VLOOKUP(G60,'Instrument Inventory'!$A$3:$U$202,2,FALSE),"")</f>
        <v/>
      </c>
      <c r="I60" s="6" t="str">
        <f>IFERROR(VLOOKUP(G60,'Instrument Inventory'!$A$3:$U$202,10,FALSE),"")</f>
        <v/>
      </c>
      <c r="J60" s="6"/>
      <c r="K60" s="6" t="str">
        <f t="shared" si="1"/>
        <v/>
      </c>
      <c r="L60" s="11"/>
    </row>
    <row r="61" spans="1:12">
      <c r="A61" s="10"/>
      <c r="B61" s="16"/>
      <c r="C61" s="25"/>
      <c r="D61" s="25"/>
      <c r="E61" s="6"/>
      <c r="F61" s="6"/>
      <c r="G61" s="6"/>
      <c r="H61" s="6" t="str">
        <f>IFERROR(VLOOKUP(G61,'Instrument Inventory'!$A$3:$U$202,2,FALSE),"")</f>
        <v/>
      </c>
      <c r="I61" s="6" t="str">
        <f>IFERROR(VLOOKUP(G61,'Instrument Inventory'!$A$3:$U$202,10,FALSE),"")</f>
        <v/>
      </c>
      <c r="J61" s="6"/>
      <c r="K61" s="6" t="str">
        <f t="shared" si="1"/>
        <v/>
      </c>
      <c r="L61" s="11"/>
    </row>
    <row r="62" spans="1:12">
      <c r="A62" s="10"/>
      <c r="B62" s="16"/>
      <c r="C62" s="25"/>
      <c r="D62" s="25"/>
      <c r="E62" s="6"/>
      <c r="F62" s="6"/>
      <c r="G62" s="6"/>
      <c r="H62" s="6" t="str">
        <f>IFERROR(VLOOKUP(G62,'Instrument Inventory'!$A$3:$U$202,2,FALSE),"")</f>
        <v/>
      </c>
      <c r="I62" s="6" t="str">
        <f>IFERROR(VLOOKUP(G62,'Instrument Inventory'!$A$3:$U$202,10,FALSE),"")</f>
        <v/>
      </c>
      <c r="J62" s="6"/>
      <c r="K62" s="6" t="str">
        <f t="shared" si="1"/>
        <v/>
      </c>
      <c r="L62" s="11"/>
    </row>
    <row r="63" spans="1:12">
      <c r="A63" s="10"/>
      <c r="B63" s="16"/>
      <c r="C63" s="25"/>
      <c r="D63" s="25"/>
      <c r="E63" s="6"/>
      <c r="F63" s="6"/>
      <c r="G63" s="6"/>
      <c r="H63" s="6" t="str">
        <f>IFERROR(VLOOKUP(G63,'Instrument Inventory'!$A$3:$U$202,2,FALSE),"")</f>
        <v/>
      </c>
      <c r="I63" s="6" t="str">
        <f>IFERROR(VLOOKUP(G63,'Instrument Inventory'!$A$3:$U$202,10,FALSE),"")</f>
        <v/>
      </c>
      <c r="J63" s="6"/>
      <c r="K63" s="6" t="str">
        <f t="shared" si="1"/>
        <v/>
      </c>
      <c r="L63" s="11"/>
    </row>
    <row r="64" spans="1:12">
      <c r="A64" s="10"/>
      <c r="B64" s="16"/>
      <c r="C64" s="25"/>
      <c r="D64" s="25"/>
      <c r="E64" s="6"/>
      <c r="F64" s="6"/>
      <c r="G64" s="6"/>
      <c r="H64" s="6" t="str">
        <f>IFERROR(VLOOKUP(G64,'Instrument Inventory'!$A$3:$U$202,2,FALSE),"")</f>
        <v/>
      </c>
      <c r="I64" s="6" t="str">
        <f>IFERROR(VLOOKUP(G64,'Instrument Inventory'!$A$3:$U$202,10,FALSE),"")</f>
        <v/>
      </c>
      <c r="J64" s="6"/>
      <c r="K64" s="6" t="str">
        <f t="shared" si="1"/>
        <v/>
      </c>
      <c r="L64" s="11"/>
    </row>
    <row r="65" spans="1:12">
      <c r="A65" s="10"/>
      <c r="B65" s="16"/>
      <c r="C65" s="25"/>
      <c r="D65" s="25"/>
      <c r="E65" s="6"/>
      <c r="F65" s="6"/>
      <c r="G65" s="6"/>
      <c r="H65" s="6" t="str">
        <f>IFERROR(VLOOKUP(G65,'Instrument Inventory'!$A$3:$U$202,2,FALSE),"")</f>
        <v/>
      </c>
      <c r="I65" s="6" t="str">
        <f>IFERROR(VLOOKUP(G65,'Instrument Inventory'!$A$3:$U$202,10,FALSE),"")</f>
        <v/>
      </c>
      <c r="J65" s="6"/>
      <c r="K65" s="6" t="str">
        <f t="shared" si="1"/>
        <v/>
      </c>
      <c r="L65" s="11"/>
    </row>
    <row r="66" spans="1:12">
      <c r="A66" s="10"/>
      <c r="B66" s="16"/>
      <c r="C66" s="25"/>
      <c r="D66" s="25"/>
      <c r="E66" s="6"/>
      <c r="F66" s="6"/>
      <c r="G66" s="6"/>
      <c r="H66" s="6" t="str">
        <f>IFERROR(VLOOKUP(G66,'Instrument Inventory'!$A$3:$U$202,2,FALSE),"")</f>
        <v/>
      </c>
      <c r="I66" s="6" t="str">
        <f>IFERROR(VLOOKUP(G66,'Instrument Inventory'!$A$3:$U$202,10,FALSE),"")</f>
        <v/>
      </c>
      <c r="J66" s="6"/>
      <c r="K66" s="6" t="str">
        <f t="shared" si="1"/>
        <v/>
      </c>
      <c r="L66" s="11"/>
    </row>
    <row r="67" spans="1:12">
      <c r="A67" s="10"/>
      <c r="B67" s="16"/>
      <c r="C67" s="25"/>
      <c r="D67" s="25"/>
      <c r="E67" s="6"/>
      <c r="F67" s="6"/>
      <c r="G67" s="6"/>
      <c r="H67" s="6" t="str">
        <f>IFERROR(VLOOKUP(G67,'Instrument Inventory'!$A$3:$U$202,2,FALSE),"")</f>
        <v/>
      </c>
      <c r="I67" s="6" t="str">
        <f>IFERROR(VLOOKUP(G67,'Instrument Inventory'!$A$3:$U$202,10,FALSE),"")</f>
        <v/>
      </c>
      <c r="J67" s="6"/>
      <c r="K67" s="6" t="str">
        <f t="shared" ref="K67:K98" si="2">IF(OR(B67="",C67="",D67="",G67=""),"",IF(COUNTIFS($B$3:$B$202,B67,$G$3:$G$202,G67,$C$3:$C$202,"&lt;"&amp;D67,$D$3:$D$202,"&gt;"&amp;C67)&gt;1,"CONFLICT","OK"))</f>
        <v/>
      </c>
      <c r="L67" s="11"/>
    </row>
    <row r="68" spans="1:12">
      <c r="A68" s="10"/>
      <c r="B68" s="16"/>
      <c r="C68" s="25"/>
      <c r="D68" s="25"/>
      <c r="E68" s="6"/>
      <c r="F68" s="6"/>
      <c r="G68" s="6"/>
      <c r="H68" s="6" t="str">
        <f>IFERROR(VLOOKUP(G68,'Instrument Inventory'!$A$3:$U$202,2,FALSE),"")</f>
        <v/>
      </c>
      <c r="I68" s="6" t="str">
        <f>IFERROR(VLOOKUP(G68,'Instrument Inventory'!$A$3:$U$202,10,FALSE),"")</f>
        <v/>
      </c>
      <c r="J68" s="6"/>
      <c r="K68" s="6" t="str">
        <f t="shared" si="2"/>
        <v/>
      </c>
      <c r="L68" s="11"/>
    </row>
    <row r="69" spans="1:12">
      <c r="A69" s="10"/>
      <c r="B69" s="16"/>
      <c r="C69" s="25"/>
      <c r="D69" s="25"/>
      <c r="E69" s="6"/>
      <c r="F69" s="6"/>
      <c r="G69" s="6"/>
      <c r="H69" s="6" t="str">
        <f>IFERROR(VLOOKUP(G69,'Instrument Inventory'!$A$3:$U$202,2,FALSE),"")</f>
        <v/>
      </c>
      <c r="I69" s="6" t="str">
        <f>IFERROR(VLOOKUP(G69,'Instrument Inventory'!$A$3:$U$202,10,FALSE),"")</f>
        <v/>
      </c>
      <c r="J69" s="6"/>
      <c r="K69" s="6" t="str">
        <f t="shared" si="2"/>
        <v/>
      </c>
      <c r="L69" s="11"/>
    </row>
    <row r="70" spans="1:12">
      <c r="A70" s="10"/>
      <c r="B70" s="16"/>
      <c r="C70" s="25"/>
      <c r="D70" s="25"/>
      <c r="E70" s="6"/>
      <c r="F70" s="6"/>
      <c r="G70" s="6"/>
      <c r="H70" s="6" t="str">
        <f>IFERROR(VLOOKUP(G70,'Instrument Inventory'!$A$3:$U$202,2,FALSE),"")</f>
        <v/>
      </c>
      <c r="I70" s="6" t="str">
        <f>IFERROR(VLOOKUP(G70,'Instrument Inventory'!$A$3:$U$202,10,FALSE),"")</f>
        <v/>
      </c>
      <c r="J70" s="6"/>
      <c r="K70" s="6" t="str">
        <f t="shared" si="2"/>
        <v/>
      </c>
      <c r="L70" s="11"/>
    </row>
    <row r="71" spans="1:12">
      <c r="A71" s="10"/>
      <c r="B71" s="16"/>
      <c r="C71" s="25"/>
      <c r="D71" s="25"/>
      <c r="E71" s="6"/>
      <c r="F71" s="6"/>
      <c r="G71" s="6"/>
      <c r="H71" s="6" t="str">
        <f>IFERROR(VLOOKUP(G71,'Instrument Inventory'!$A$3:$U$202,2,FALSE),"")</f>
        <v/>
      </c>
      <c r="I71" s="6" t="str">
        <f>IFERROR(VLOOKUP(G71,'Instrument Inventory'!$A$3:$U$202,10,FALSE),"")</f>
        <v/>
      </c>
      <c r="J71" s="6"/>
      <c r="K71" s="6" t="str">
        <f t="shared" si="2"/>
        <v/>
      </c>
      <c r="L71" s="11"/>
    </row>
    <row r="72" spans="1:12">
      <c r="A72" s="10"/>
      <c r="B72" s="16"/>
      <c r="C72" s="25"/>
      <c r="D72" s="25"/>
      <c r="E72" s="6"/>
      <c r="F72" s="6"/>
      <c r="G72" s="6"/>
      <c r="H72" s="6" t="str">
        <f>IFERROR(VLOOKUP(G72,'Instrument Inventory'!$A$3:$U$202,2,FALSE),"")</f>
        <v/>
      </c>
      <c r="I72" s="6" t="str">
        <f>IFERROR(VLOOKUP(G72,'Instrument Inventory'!$A$3:$U$202,10,FALSE),"")</f>
        <v/>
      </c>
      <c r="J72" s="6"/>
      <c r="K72" s="6" t="str">
        <f t="shared" si="2"/>
        <v/>
      </c>
      <c r="L72" s="11"/>
    </row>
    <row r="73" spans="1:12">
      <c r="A73" s="10"/>
      <c r="B73" s="16"/>
      <c r="C73" s="25"/>
      <c r="D73" s="25"/>
      <c r="E73" s="6"/>
      <c r="F73" s="6"/>
      <c r="G73" s="6"/>
      <c r="H73" s="6" t="str">
        <f>IFERROR(VLOOKUP(G73,'Instrument Inventory'!$A$3:$U$202,2,FALSE),"")</f>
        <v/>
      </c>
      <c r="I73" s="6" t="str">
        <f>IFERROR(VLOOKUP(G73,'Instrument Inventory'!$A$3:$U$202,10,FALSE),"")</f>
        <v/>
      </c>
      <c r="J73" s="6"/>
      <c r="K73" s="6" t="str">
        <f t="shared" si="2"/>
        <v/>
      </c>
      <c r="L73" s="11"/>
    </row>
    <row r="74" spans="1:12">
      <c r="A74" s="10"/>
      <c r="B74" s="16"/>
      <c r="C74" s="25"/>
      <c r="D74" s="25"/>
      <c r="E74" s="6"/>
      <c r="F74" s="6"/>
      <c r="G74" s="6"/>
      <c r="H74" s="6" t="str">
        <f>IFERROR(VLOOKUP(G74,'Instrument Inventory'!$A$3:$U$202,2,FALSE),"")</f>
        <v/>
      </c>
      <c r="I74" s="6" t="str">
        <f>IFERROR(VLOOKUP(G74,'Instrument Inventory'!$A$3:$U$202,10,FALSE),"")</f>
        <v/>
      </c>
      <c r="J74" s="6"/>
      <c r="K74" s="6" t="str">
        <f t="shared" si="2"/>
        <v/>
      </c>
      <c r="L74" s="11"/>
    </row>
    <row r="75" spans="1:12">
      <c r="A75" s="10"/>
      <c r="B75" s="16"/>
      <c r="C75" s="25"/>
      <c r="D75" s="25"/>
      <c r="E75" s="6"/>
      <c r="F75" s="6"/>
      <c r="G75" s="6"/>
      <c r="H75" s="6" t="str">
        <f>IFERROR(VLOOKUP(G75,'Instrument Inventory'!$A$3:$U$202,2,FALSE),"")</f>
        <v/>
      </c>
      <c r="I75" s="6" t="str">
        <f>IFERROR(VLOOKUP(G75,'Instrument Inventory'!$A$3:$U$202,10,FALSE),"")</f>
        <v/>
      </c>
      <c r="J75" s="6"/>
      <c r="K75" s="6" t="str">
        <f t="shared" si="2"/>
        <v/>
      </c>
      <c r="L75" s="11"/>
    </row>
    <row r="76" spans="1:12">
      <c r="A76" s="10"/>
      <c r="B76" s="16"/>
      <c r="C76" s="25"/>
      <c r="D76" s="25"/>
      <c r="E76" s="6"/>
      <c r="F76" s="6"/>
      <c r="G76" s="6"/>
      <c r="H76" s="6" t="str">
        <f>IFERROR(VLOOKUP(G76,'Instrument Inventory'!$A$3:$U$202,2,FALSE),"")</f>
        <v/>
      </c>
      <c r="I76" s="6" t="str">
        <f>IFERROR(VLOOKUP(G76,'Instrument Inventory'!$A$3:$U$202,10,FALSE),"")</f>
        <v/>
      </c>
      <c r="J76" s="6"/>
      <c r="K76" s="6" t="str">
        <f t="shared" si="2"/>
        <v/>
      </c>
      <c r="L76" s="11"/>
    </row>
    <row r="77" spans="1:12">
      <c r="A77" s="10"/>
      <c r="B77" s="16"/>
      <c r="C77" s="25"/>
      <c r="D77" s="25"/>
      <c r="E77" s="6"/>
      <c r="F77" s="6"/>
      <c r="G77" s="6"/>
      <c r="H77" s="6" t="str">
        <f>IFERROR(VLOOKUP(G77,'Instrument Inventory'!$A$3:$U$202,2,FALSE),"")</f>
        <v/>
      </c>
      <c r="I77" s="6" t="str">
        <f>IFERROR(VLOOKUP(G77,'Instrument Inventory'!$A$3:$U$202,10,FALSE),"")</f>
        <v/>
      </c>
      <c r="J77" s="6"/>
      <c r="K77" s="6" t="str">
        <f t="shared" si="2"/>
        <v/>
      </c>
      <c r="L77" s="11"/>
    </row>
    <row r="78" spans="1:12">
      <c r="A78" s="10"/>
      <c r="B78" s="16"/>
      <c r="C78" s="25"/>
      <c r="D78" s="25"/>
      <c r="E78" s="6"/>
      <c r="F78" s="6"/>
      <c r="G78" s="6"/>
      <c r="H78" s="6" t="str">
        <f>IFERROR(VLOOKUP(G78,'Instrument Inventory'!$A$3:$U$202,2,FALSE),"")</f>
        <v/>
      </c>
      <c r="I78" s="6" t="str">
        <f>IFERROR(VLOOKUP(G78,'Instrument Inventory'!$A$3:$U$202,10,FALSE),"")</f>
        <v/>
      </c>
      <c r="J78" s="6"/>
      <c r="K78" s="6" t="str">
        <f t="shared" si="2"/>
        <v/>
      </c>
      <c r="L78" s="11"/>
    </row>
    <row r="79" spans="1:12">
      <c r="A79" s="10"/>
      <c r="B79" s="16"/>
      <c r="C79" s="25"/>
      <c r="D79" s="25"/>
      <c r="E79" s="6"/>
      <c r="F79" s="6"/>
      <c r="G79" s="6"/>
      <c r="H79" s="6" t="str">
        <f>IFERROR(VLOOKUP(G79,'Instrument Inventory'!$A$3:$U$202,2,FALSE),"")</f>
        <v/>
      </c>
      <c r="I79" s="6" t="str">
        <f>IFERROR(VLOOKUP(G79,'Instrument Inventory'!$A$3:$U$202,10,FALSE),"")</f>
        <v/>
      </c>
      <c r="J79" s="6"/>
      <c r="K79" s="6" t="str">
        <f t="shared" si="2"/>
        <v/>
      </c>
      <c r="L79" s="11"/>
    </row>
    <row r="80" spans="1:12">
      <c r="A80" s="10"/>
      <c r="B80" s="16"/>
      <c r="C80" s="25"/>
      <c r="D80" s="25"/>
      <c r="E80" s="6"/>
      <c r="F80" s="6"/>
      <c r="G80" s="6"/>
      <c r="H80" s="6" t="str">
        <f>IFERROR(VLOOKUP(G80,'Instrument Inventory'!$A$3:$U$202,2,FALSE),"")</f>
        <v/>
      </c>
      <c r="I80" s="6" t="str">
        <f>IFERROR(VLOOKUP(G80,'Instrument Inventory'!$A$3:$U$202,10,FALSE),"")</f>
        <v/>
      </c>
      <c r="J80" s="6"/>
      <c r="K80" s="6" t="str">
        <f t="shared" si="2"/>
        <v/>
      </c>
      <c r="L80" s="11"/>
    </row>
    <row r="81" spans="1:12">
      <c r="A81" s="10"/>
      <c r="B81" s="16"/>
      <c r="C81" s="25"/>
      <c r="D81" s="25"/>
      <c r="E81" s="6"/>
      <c r="F81" s="6"/>
      <c r="G81" s="6"/>
      <c r="H81" s="6" t="str">
        <f>IFERROR(VLOOKUP(G81,'Instrument Inventory'!$A$3:$U$202,2,FALSE),"")</f>
        <v/>
      </c>
      <c r="I81" s="6" t="str">
        <f>IFERROR(VLOOKUP(G81,'Instrument Inventory'!$A$3:$U$202,10,FALSE),"")</f>
        <v/>
      </c>
      <c r="J81" s="6"/>
      <c r="K81" s="6" t="str">
        <f t="shared" si="2"/>
        <v/>
      </c>
      <c r="L81" s="11"/>
    </row>
    <row r="82" spans="1:12">
      <c r="A82" s="10"/>
      <c r="B82" s="16"/>
      <c r="C82" s="25"/>
      <c r="D82" s="25"/>
      <c r="E82" s="6"/>
      <c r="F82" s="6"/>
      <c r="G82" s="6"/>
      <c r="H82" s="6" t="str">
        <f>IFERROR(VLOOKUP(G82,'Instrument Inventory'!$A$3:$U$202,2,FALSE),"")</f>
        <v/>
      </c>
      <c r="I82" s="6" t="str">
        <f>IFERROR(VLOOKUP(G82,'Instrument Inventory'!$A$3:$U$202,10,FALSE),"")</f>
        <v/>
      </c>
      <c r="J82" s="6"/>
      <c r="K82" s="6" t="str">
        <f t="shared" si="2"/>
        <v/>
      </c>
      <c r="L82" s="11"/>
    </row>
    <row r="83" spans="1:12">
      <c r="A83" s="10"/>
      <c r="B83" s="16"/>
      <c r="C83" s="25"/>
      <c r="D83" s="25"/>
      <c r="E83" s="6"/>
      <c r="F83" s="6"/>
      <c r="G83" s="6"/>
      <c r="H83" s="6" t="str">
        <f>IFERROR(VLOOKUP(G83,'Instrument Inventory'!$A$3:$U$202,2,FALSE),"")</f>
        <v/>
      </c>
      <c r="I83" s="6" t="str">
        <f>IFERROR(VLOOKUP(G83,'Instrument Inventory'!$A$3:$U$202,10,FALSE),"")</f>
        <v/>
      </c>
      <c r="J83" s="6"/>
      <c r="K83" s="6" t="str">
        <f t="shared" si="2"/>
        <v/>
      </c>
      <c r="L83" s="11"/>
    </row>
    <row r="84" spans="1:12">
      <c r="A84" s="10"/>
      <c r="B84" s="16"/>
      <c r="C84" s="25"/>
      <c r="D84" s="25"/>
      <c r="E84" s="6"/>
      <c r="F84" s="6"/>
      <c r="G84" s="6"/>
      <c r="H84" s="6" t="str">
        <f>IFERROR(VLOOKUP(G84,'Instrument Inventory'!$A$3:$U$202,2,FALSE),"")</f>
        <v/>
      </c>
      <c r="I84" s="6" t="str">
        <f>IFERROR(VLOOKUP(G84,'Instrument Inventory'!$A$3:$U$202,10,FALSE),"")</f>
        <v/>
      </c>
      <c r="J84" s="6"/>
      <c r="K84" s="6" t="str">
        <f t="shared" si="2"/>
        <v/>
      </c>
      <c r="L84" s="11"/>
    </row>
    <row r="85" spans="1:12">
      <c r="A85" s="10"/>
      <c r="B85" s="16"/>
      <c r="C85" s="25"/>
      <c r="D85" s="25"/>
      <c r="E85" s="6"/>
      <c r="F85" s="6"/>
      <c r="G85" s="6"/>
      <c r="H85" s="6" t="str">
        <f>IFERROR(VLOOKUP(G85,'Instrument Inventory'!$A$3:$U$202,2,FALSE),"")</f>
        <v/>
      </c>
      <c r="I85" s="6" t="str">
        <f>IFERROR(VLOOKUP(G85,'Instrument Inventory'!$A$3:$U$202,10,FALSE),"")</f>
        <v/>
      </c>
      <c r="J85" s="6"/>
      <c r="K85" s="6" t="str">
        <f t="shared" si="2"/>
        <v/>
      </c>
      <c r="L85" s="11"/>
    </row>
    <row r="86" spans="1:12">
      <c r="A86" s="10"/>
      <c r="B86" s="16"/>
      <c r="C86" s="25"/>
      <c r="D86" s="25"/>
      <c r="E86" s="6"/>
      <c r="F86" s="6"/>
      <c r="G86" s="6"/>
      <c r="H86" s="6" t="str">
        <f>IFERROR(VLOOKUP(G86,'Instrument Inventory'!$A$3:$U$202,2,FALSE),"")</f>
        <v/>
      </c>
      <c r="I86" s="6" t="str">
        <f>IFERROR(VLOOKUP(G86,'Instrument Inventory'!$A$3:$U$202,10,FALSE),"")</f>
        <v/>
      </c>
      <c r="J86" s="6"/>
      <c r="K86" s="6" t="str">
        <f t="shared" si="2"/>
        <v/>
      </c>
      <c r="L86" s="11"/>
    </row>
    <row r="87" spans="1:12">
      <c r="A87" s="10"/>
      <c r="B87" s="16"/>
      <c r="C87" s="25"/>
      <c r="D87" s="25"/>
      <c r="E87" s="6"/>
      <c r="F87" s="6"/>
      <c r="G87" s="6"/>
      <c r="H87" s="6" t="str">
        <f>IFERROR(VLOOKUP(G87,'Instrument Inventory'!$A$3:$U$202,2,FALSE),"")</f>
        <v/>
      </c>
      <c r="I87" s="6" t="str">
        <f>IFERROR(VLOOKUP(G87,'Instrument Inventory'!$A$3:$U$202,10,FALSE),"")</f>
        <v/>
      </c>
      <c r="J87" s="6"/>
      <c r="K87" s="6" t="str">
        <f t="shared" si="2"/>
        <v/>
      </c>
      <c r="L87" s="11"/>
    </row>
    <row r="88" spans="1:12">
      <c r="A88" s="10"/>
      <c r="B88" s="16"/>
      <c r="C88" s="25"/>
      <c r="D88" s="25"/>
      <c r="E88" s="6"/>
      <c r="F88" s="6"/>
      <c r="G88" s="6"/>
      <c r="H88" s="6" t="str">
        <f>IFERROR(VLOOKUP(G88,'Instrument Inventory'!$A$3:$U$202,2,FALSE),"")</f>
        <v/>
      </c>
      <c r="I88" s="6" t="str">
        <f>IFERROR(VLOOKUP(G88,'Instrument Inventory'!$A$3:$U$202,10,FALSE),"")</f>
        <v/>
      </c>
      <c r="J88" s="6"/>
      <c r="K88" s="6" t="str">
        <f t="shared" si="2"/>
        <v/>
      </c>
      <c r="L88" s="11"/>
    </row>
    <row r="89" spans="1:12">
      <c r="A89" s="10"/>
      <c r="B89" s="16"/>
      <c r="C89" s="25"/>
      <c r="D89" s="25"/>
      <c r="E89" s="6"/>
      <c r="F89" s="6"/>
      <c r="G89" s="6"/>
      <c r="H89" s="6" t="str">
        <f>IFERROR(VLOOKUP(G89,'Instrument Inventory'!$A$3:$U$202,2,FALSE),"")</f>
        <v/>
      </c>
      <c r="I89" s="6" t="str">
        <f>IFERROR(VLOOKUP(G89,'Instrument Inventory'!$A$3:$U$202,10,FALSE),"")</f>
        <v/>
      </c>
      <c r="J89" s="6"/>
      <c r="K89" s="6" t="str">
        <f t="shared" si="2"/>
        <v/>
      </c>
      <c r="L89" s="11"/>
    </row>
    <row r="90" spans="1:12">
      <c r="A90" s="10"/>
      <c r="B90" s="16"/>
      <c r="C90" s="25"/>
      <c r="D90" s="25"/>
      <c r="E90" s="6"/>
      <c r="F90" s="6"/>
      <c r="G90" s="6"/>
      <c r="H90" s="6" t="str">
        <f>IFERROR(VLOOKUP(G90,'Instrument Inventory'!$A$3:$U$202,2,FALSE),"")</f>
        <v/>
      </c>
      <c r="I90" s="6" t="str">
        <f>IFERROR(VLOOKUP(G90,'Instrument Inventory'!$A$3:$U$202,10,FALSE),"")</f>
        <v/>
      </c>
      <c r="J90" s="6"/>
      <c r="K90" s="6" t="str">
        <f t="shared" si="2"/>
        <v/>
      </c>
      <c r="L90" s="11"/>
    </row>
    <row r="91" spans="1:12">
      <c r="A91" s="10"/>
      <c r="B91" s="16"/>
      <c r="C91" s="25"/>
      <c r="D91" s="25"/>
      <c r="E91" s="6"/>
      <c r="F91" s="6"/>
      <c r="G91" s="6"/>
      <c r="H91" s="6" t="str">
        <f>IFERROR(VLOOKUP(G91,'Instrument Inventory'!$A$3:$U$202,2,FALSE),"")</f>
        <v/>
      </c>
      <c r="I91" s="6" t="str">
        <f>IFERROR(VLOOKUP(G91,'Instrument Inventory'!$A$3:$U$202,10,FALSE),"")</f>
        <v/>
      </c>
      <c r="J91" s="6"/>
      <c r="K91" s="6" t="str">
        <f t="shared" si="2"/>
        <v/>
      </c>
      <c r="L91" s="11"/>
    </row>
    <row r="92" spans="1:12">
      <c r="A92" s="10"/>
      <c r="B92" s="16"/>
      <c r="C92" s="25"/>
      <c r="D92" s="25"/>
      <c r="E92" s="6"/>
      <c r="F92" s="6"/>
      <c r="G92" s="6"/>
      <c r="H92" s="6" t="str">
        <f>IFERROR(VLOOKUP(G92,'Instrument Inventory'!$A$3:$U$202,2,FALSE),"")</f>
        <v/>
      </c>
      <c r="I92" s="6" t="str">
        <f>IFERROR(VLOOKUP(G92,'Instrument Inventory'!$A$3:$U$202,10,FALSE),"")</f>
        <v/>
      </c>
      <c r="J92" s="6"/>
      <c r="K92" s="6" t="str">
        <f t="shared" si="2"/>
        <v/>
      </c>
      <c r="L92" s="11"/>
    </row>
    <row r="93" spans="1:12">
      <c r="A93" s="10"/>
      <c r="B93" s="16"/>
      <c r="C93" s="25"/>
      <c r="D93" s="25"/>
      <c r="E93" s="6"/>
      <c r="F93" s="6"/>
      <c r="G93" s="6"/>
      <c r="H93" s="6" t="str">
        <f>IFERROR(VLOOKUP(G93,'Instrument Inventory'!$A$3:$U$202,2,FALSE),"")</f>
        <v/>
      </c>
      <c r="I93" s="6" t="str">
        <f>IFERROR(VLOOKUP(G93,'Instrument Inventory'!$A$3:$U$202,10,FALSE),"")</f>
        <v/>
      </c>
      <c r="J93" s="6"/>
      <c r="K93" s="6" t="str">
        <f t="shared" si="2"/>
        <v/>
      </c>
      <c r="L93" s="11"/>
    </row>
    <row r="94" spans="1:12">
      <c r="A94" s="10"/>
      <c r="B94" s="16"/>
      <c r="C94" s="25"/>
      <c r="D94" s="25"/>
      <c r="E94" s="6"/>
      <c r="F94" s="6"/>
      <c r="G94" s="6"/>
      <c r="H94" s="6" t="str">
        <f>IFERROR(VLOOKUP(G94,'Instrument Inventory'!$A$3:$U$202,2,FALSE),"")</f>
        <v/>
      </c>
      <c r="I94" s="6" t="str">
        <f>IFERROR(VLOOKUP(G94,'Instrument Inventory'!$A$3:$U$202,10,FALSE),"")</f>
        <v/>
      </c>
      <c r="J94" s="6"/>
      <c r="K94" s="6" t="str">
        <f t="shared" si="2"/>
        <v/>
      </c>
      <c r="L94" s="11"/>
    </row>
    <row r="95" spans="1:12">
      <c r="A95" s="10"/>
      <c r="B95" s="16"/>
      <c r="C95" s="25"/>
      <c r="D95" s="25"/>
      <c r="E95" s="6"/>
      <c r="F95" s="6"/>
      <c r="G95" s="6"/>
      <c r="H95" s="6" t="str">
        <f>IFERROR(VLOOKUP(G95,'Instrument Inventory'!$A$3:$U$202,2,FALSE),"")</f>
        <v/>
      </c>
      <c r="I95" s="6" t="str">
        <f>IFERROR(VLOOKUP(G95,'Instrument Inventory'!$A$3:$U$202,10,FALSE),"")</f>
        <v/>
      </c>
      <c r="J95" s="6"/>
      <c r="K95" s="6" t="str">
        <f t="shared" si="2"/>
        <v/>
      </c>
      <c r="L95" s="11"/>
    </row>
    <row r="96" spans="1:12">
      <c r="A96" s="10"/>
      <c r="B96" s="16"/>
      <c r="C96" s="25"/>
      <c r="D96" s="25"/>
      <c r="E96" s="6"/>
      <c r="F96" s="6"/>
      <c r="G96" s="6"/>
      <c r="H96" s="6" t="str">
        <f>IFERROR(VLOOKUP(G96,'Instrument Inventory'!$A$3:$U$202,2,FALSE),"")</f>
        <v/>
      </c>
      <c r="I96" s="6" t="str">
        <f>IFERROR(VLOOKUP(G96,'Instrument Inventory'!$A$3:$U$202,10,FALSE),"")</f>
        <v/>
      </c>
      <c r="J96" s="6"/>
      <c r="K96" s="6" t="str">
        <f t="shared" si="2"/>
        <v/>
      </c>
      <c r="L96" s="11"/>
    </row>
    <row r="97" spans="1:12">
      <c r="A97" s="10"/>
      <c r="B97" s="16"/>
      <c r="C97" s="25"/>
      <c r="D97" s="25"/>
      <c r="E97" s="6"/>
      <c r="F97" s="6"/>
      <c r="G97" s="6"/>
      <c r="H97" s="6" t="str">
        <f>IFERROR(VLOOKUP(G97,'Instrument Inventory'!$A$3:$U$202,2,FALSE),"")</f>
        <v/>
      </c>
      <c r="I97" s="6" t="str">
        <f>IFERROR(VLOOKUP(G97,'Instrument Inventory'!$A$3:$U$202,10,FALSE),"")</f>
        <v/>
      </c>
      <c r="J97" s="6"/>
      <c r="K97" s="6" t="str">
        <f t="shared" si="2"/>
        <v/>
      </c>
      <c r="L97" s="11"/>
    </row>
    <row r="98" spans="1:12">
      <c r="A98" s="10"/>
      <c r="B98" s="16"/>
      <c r="C98" s="25"/>
      <c r="D98" s="25"/>
      <c r="E98" s="6"/>
      <c r="F98" s="6"/>
      <c r="G98" s="6"/>
      <c r="H98" s="6" t="str">
        <f>IFERROR(VLOOKUP(G98,'Instrument Inventory'!$A$3:$U$202,2,FALSE),"")</f>
        <v/>
      </c>
      <c r="I98" s="6" t="str">
        <f>IFERROR(VLOOKUP(G98,'Instrument Inventory'!$A$3:$U$202,10,FALSE),"")</f>
        <v/>
      </c>
      <c r="J98" s="6"/>
      <c r="K98" s="6" t="str">
        <f t="shared" si="2"/>
        <v/>
      </c>
      <c r="L98" s="11"/>
    </row>
    <row r="99" spans="1:12">
      <c r="A99" s="10"/>
      <c r="B99" s="16"/>
      <c r="C99" s="25"/>
      <c r="D99" s="25"/>
      <c r="E99" s="6"/>
      <c r="F99" s="6"/>
      <c r="G99" s="6"/>
      <c r="H99" s="6" t="str">
        <f>IFERROR(VLOOKUP(G99,'Instrument Inventory'!$A$3:$U$202,2,FALSE),"")</f>
        <v/>
      </c>
      <c r="I99" s="6" t="str">
        <f>IFERROR(VLOOKUP(G99,'Instrument Inventory'!$A$3:$U$202,10,FALSE),"")</f>
        <v/>
      </c>
      <c r="J99" s="6"/>
      <c r="K99" s="6" t="str">
        <f t="shared" ref="K99:K130" si="3">IF(OR(B99="",C99="",D99="",G99=""),"",IF(COUNTIFS($B$3:$B$202,B99,$G$3:$G$202,G99,$C$3:$C$202,"&lt;"&amp;D99,$D$3:$D$202,"&gt;"&amp;C99)&gt;1,"CONFLICT","OK"))</f>
        <v/>
      </c>
      <c r="L99" s="11"/>
    </row>
    <row r="100" spans="1:12">
      <c r="A100" s="10"/>
      <c r="B100" s="16"/>
      <c r="C100" s="25"/>
      <c r="D100" s="25"/>
      <c r="E100" s="6"/>
      <c r="F100" s="6"/>
      <c r="G100" s="6"/>
      <c r="H100" s="6" t="str">
        <f>IFERROR(VLOOKUP(G100,'Instrument Inventory'!$A$3:$U$202,2,FALSE),"")</f>
        <v/>
      </c>
      <c r="I100" s="6" t="str">
        <f>IFERROR(VLOOKUP(G100,'Instrument Inventory'!$A$3:$U$202,10,FALSE),"")</f>
        <v/>
      </c>
      <c r="J100" s="6"/>
      <c r="K100" s="6" t="str">
        <f t="shared" si="3"/>
        <v/>
      </c>
      <c r="L100" s="11"/>
    </row>
    <row r="101" spans="1:12">
      <c r="A101" s="10"/>
      <c r="B101" s="16"/>
      <c r="C101" s="25"/>
      <c r="D101" s="25"/>
      <c r="E101" s="6"/>
      <c r="F101" s="6"/>
      <c r="G101" s="6"/>
      <c r="H101" s="6" t="str">
        <f>IFERROR(VLOOKUP(G101,'Instrument Inventory'!$A$3:$U$202,2,FALSE),"")</f>
        <v/>
      </c>
      <c r="I101" s="6" t="str">
        <f>IFERROR(VLOOKUP(G101,'Instrument Inventory'!$A$3:$U$202,10,FALSE),"")</f>
        <v/>
      </c>
      <c r="J101" s="6"/>
      <c r="K101" s="6" t="str">
        <f t="shared" si="3"/>
        <v/>
      </c>
      <c r="L101" s="11"/>
    </row>
    <row r="102" spans="1:12">
      <c r="A102" s="10"/>
      <c r="B102" s="16"/>
      <c r="C102" s="25"/>
      <c r="D102" s="25"/>
      <c r="E102" s="6"/>
      <c r="F102" s="6"/>
      <c r="G102" s="6"/>
      <c r="H102" s="6" t="str">
        <f>IFERROR(VLOOKUP(G102,'Instrument Inventory'!$A$3:$U$202,2,FALSE),"")</f>
        <v/>
      </c>
      <c r="I102" s="6" t="str">
        <f>IFERROR(VLOOKUP(G102,'Instrument Inventory'!$A$3:$U$202,10,FALSE),"")</f>
        <v/>
      </c>
      <c r="J102" s="6"/>
      <c r="K102" s="6" t="str">
        <f t="shared" si="3"/>
        <v/>
      </c>
      <c r="L102" s="11"/>
    </row>
    <row r="103" spans="1:12">
      <c r="A103" s="10"/>
      <c r="B103" s="16"/>
      <c r="C103" s="25"/>
      <c r="D103" s="25"/>
      <c r="E103" s="6"/>
      <c r="F103" s="6"/>
      <c r="G103" s="6"/>
      <c r="H103" s="6" t="str">
        <f>IFERROR(VLOOKUP(G103,'Instrument Inventory'!$A$3:$U$202,2,FALSE),"")</f>
        <v/>
      </c>
      <c r="I103" s="6" t="str">
        <f>IFERROR(VLOOKUP(G103,'Instrument Inventory'!$A$3:$U$202,10,FALSE),"")</f>
        <v/>
      </c>
      <c r="J103" s="6"/>
      <c r="K103" s="6" t="str">
        <f t="shared" si="3"/>
        <v/>
      </c>
      <c r="L103" s="11"/>
    </row>
    <row r="104" spans="1:12">
      <c r="A104" s="10"/>
      <c r="B104" s="16"/>
      <c r="C104" s="25"/>
      <c r="D104" s="25"/>
      <c r="E104" s="6"/>
      <c r="F104" s="6"/>
      <c r="G104" s="6"/>
      <c r="H104" s="6" t="str">
        <f>IFERROR(VLOOKUP(G104,'Instrument Inventory'!$A$3:$U$202,2,FALSE),"")</f>
        <v/>
      </c>
      <c r="I104" s="6" t="str">
        <f>IFERROR(VLOOKUP(G104,'Instrument Inventory'!$A$3:$U$202,10,FALSE),"")</f>
        <v/>
      </c>
      <c r="J104" s="6"/>
      <c r="K104" s="6" t="str">
        <f t="shared" si="3"/>
        <v/>
      </c>
      <c r="L104" s="11"/>
    </row>
    <row r="105" spans="1:12">
      <c r="A105" s="10"/>
      <c r="B105" s="16"/>
      <c r="C105" s="25"/>
      <c r="D105" s="25"/>
      <c r="E105" s="6"/>
      <c r="F105" s="6"/>
      <c r="G105" s="6"/>
      <c r="H105" s="6" t="str">
        <f>IFERROR(VLOOKUP(G105,'Instrument Inventory'!$A$3:$U$202,2,FALSE),"")</f>
        <v/>
      </c>
      <c r="I105" s="6" t="str">
        <f>IFERROR(VLOOKUP(G105,'Instrument Inventory'!$A$3:$U$202,10,FALSE),"")</f>
        <v/>
      </c>
      <c r="J105" s="6"/>
      <c r="K105" s="6" t="str">
        <f t="shared" si="3"/>
        <v/>
      </c>
      <c r="L105" s="11"/>
    </row>
    <row r="106" spans="1:12">
      <c r="A106" s="10"/>
      <c r="B106" s="16"/>
      <c r="C106" s="25"/>
      <c r="D106" s="25"/>
      <c r="E106" s="6"/>
      <c r="F106" s="6"/>
      <c r="G106" s="6"/>
      <c r="H106" s="6" t="str">
        <f>IFERROR(VLOOKUP(G106,'Instrument Inventory'!$A$3:$U$202,2,FALSE),"")</f>
        <v/>
      </c>
      <c r="I106" s="6" t="str">
        <f>IFERROR(VLOOKUP(G106,'Instrument Inventory'!$A$3:$U$202,10,FALSE),"")</f>
        <v/>
      </c>
      <c r="J106" s="6"/>
      <c r="K106" s="6" t="str">
        <f t="shared" si="3"/>
        <v/>
      </c>
      <c r="L106" s="11"/>
    </row>
    <row r="107" spans="1:12">
      <c r="A107" s="10"/>
      <c r="B107" s="16"/>
      <c r="C107" s="25"/>
      <c r="D107" s="25"/>
      <c r="E107" s="6"/>
      <c r="F107" s="6"/>
      <c r="G107" s="6"/>
      <c r="H107" s="6" t="str">
        <f>IFERROR(VLOOKUP(G107,'Instrument Inventory'!$A$3:$U$202,2,FALSE),"")</f>
        <v/>
      </c>
      <c r="I107" s="6" t="str">
        <f>IFERROR(VLOOKUP(G107,'Instrument Inventory'!$A$3:$U$202,10,FALSE),"")</f>
        <v/>
      </c>
      <c r="J107" s="6"/>
      <c r="K107" s="6" t="str">
        <f t="shared" si="3"/>
        <v/>
      </c>
      <c r="L107" s="11"/>
    </row>
    <row r="108" spans="1:12">
      <c r="A108" s="10"/>
      <c r="B108" s="16"/>
      <c r="C108" s="25"/>
      <c r="D108" s="25"/>
      <c r="E108" s="6"/>
      <c r="F108" s="6"/>
      <c r="G108" s="6"/>
      <c r="H108" s="6" t="str">
        <f>IFERROR(VLOOKUP(G108,'Instrument Inventory'!$A$3:$U$202,2,FALSE),"")</f>
        <v/>
      </c>
      <c r="I108" s="6" t="str">
        <f>IFERROR(VLOOKUP(G108,'Instrument Inventory'!$A$3:$U$202,10,FALSE),"")</f>
        <v/>
      </c>
      <c r="J108" s="6"/>
      <c r="K108" s="6" t="str">
        <f t="shared" si="3"/>
        <v/>
      </c>
      <c r="L108" s="11"/>
    </row>
    <row r="109" spans="1:12">
      <c r="A109" s="10"/>
      <c r="B109" s="16"/>
      <c r="C109" s="25"/>
      <c r="D109" s="25"/>
      <c r="E109" s="6"/>
      <c r="F109" s="6"/>
      <c r="G109" s="6"/>
      <c r="H109" s="6" t="str">
        <f>IFERROR(VLOOKUP(G109,'Instrument Inventory'!$A$3:$U$202,2,FALSE),"")</f>
        <v/>
      </c>
      <c r="I109" s="6" t="str">
        <f>IFERROR(VLOOKUP(G109,'Instrument Inventory'!$A$3:$U$202,10,FALSE),"")</f>
        <v/>
      </c>
      <c r="J109" s="6"/>
      <c r="K109" s="6" t="str">
        <f t="shared" si="3"/>
        <v/>
      </c>
      <c r="L109" s="11"/>
    </row>
    <row r="110" spans="1:12">
      <c r="A110" s="10"/>
      <c r="B110" s="16"/>
      <c r="C110" s="25"/>
      <c r="D110" s="25"/>
      <c r="E110" s="6"/>
      <c r="F110" s="6"/>
      <c r="G110" s="6"/>
      <c r="H110" s="6" t="str">
        <f>IFERROR(VLOOKUP(G110,'Instrument Inventory'!$A$3:$U$202,2,FALSE),"")</f>
        <v/>
      </c>
      <c r="I110" s="6" t="str">
        <f>IFERROR(VLOOKUP(G110,'Instrument Inventory'!$A$3:$U$202,10,FALSE),"")</f>
        <v/>
      </c>
      <c r="J110" s="6"/>
      <c r="K110" s="6" t="str">
        <f t="shared" si="3"/>
        <v/>
      </c>
      <c r="L110" s="11"/>
    </row>
    <row r="111" spans="1:12">
      <c r="A111" s="10"/>
      <c r="B111" s="16"/>
      <c r="C111" s="25"/>
      <c r="D111" s="25"/>
      <c r="E111" s="6"/>
      <c r="F111" s="6"/>
      <c r="G111" s="6"/>
      <c r="H111" s="6" t="str">
        <f>IFERROR(VLOOKUP(G111,'Instrument Inventory'!$A$3:$U$202,2,FALSE),"")</f>
        <v/>
      </c>
      <c r="I111" s="6" t="str">
        <f>IFERROR(VLOOKUP(G111,'Instrument Inventory'!$A$3:$U$202,10,FALSE),"")</f>
        <v/>
      </c>
      <c r="J111" s="6"/>
      <c r="K111" s="6" t="str">
        <f t="shared" si="3"/>
        <v/>
      </c>
      <c r="L111" s="11"/>
    </row>
    <row r="112" spans="1:12">
      <c r="A112" s="10"/>
      <c r="B112" s="16"/>
      <c r="C112" s="25"/>
      <c r="D112" s="25"/>
      <c r="E112" s="6"/>
      <c r="F112" s="6"/>
      <c r="G112" s="6"/>
      <c r="H112" s="6" t="str">
        <f>IFERROR(VLOOKUP(G112,'Instrument Inventory'!$A$3:$U$202,2,FALSE),"")</f>
        <v/>
      </c>
      <c r="I112" s="6" t="str">
        <f>IFERROR(VLOOKUP(G112,'Instrument Inventory'!$A$3:$U$202,10,FALSE),"")</f>
        <v/>
      </c>
      <c r="J112" s="6"/>
      <c r="K112" s="6" t="str">
        <f t="shared" si="3"/>
        <v/>
      </c>
      <c r="L112" s="11"/>
    </row>
    <row r="113" spans="1:12">
      <c r="A113" s="10"/>
      <c r="B113" s="16"/>
      <c r="C113" s="25"/>
      <c r="D113" s="25"/>
      <c r="E113" s="6"/>
      <c r="F113" s="6"/>
      <c r="G113" s="6"/>
      <c r="H113" s="6" t="str">
        <f>IFERROR(VLOOKUP(G113,'Instrument Inventory'!$A$3:$U$202,2,FALSE),"")</f>
        <v/>
      </c>
      <c r="I113" s="6" t="str">
        <f>IFERROR(VLOOKUP(G113,'Instrument Inventory'!$A$3:$U$202,10,FALSE),"")</f>
        <v/>
      </c>
      <c r="J113" s="6"/>
      <c r="K113" s="6" t="str">
        <f t="shared" si="3"/>
        <v/>
      </c>
      <c r="L113" s="11"/>
    </row>
    <row r="114" spans="1:12">
      <c r="A114" s="10"/>
      <c r="B114" s="16"/>
      <c r="C114" s="25"/>
      <c r="D114" s="25"/>
      <c r="E114" s="6"/>
      <c r="F114" s="6"/>
      <c r="G114" s="6"/>
      <c r="H114" s="6" t="str">
        <f>IFERROR(VLOOKUP(G114,'Instrument Inventory'!$A$3:$U$202,2,FALSE),"")</f>
        <v/>
      </c>
      <c r="I114" s="6" t="str">
        <f>IFERROR(VLOOKUP(G114,'Instrument Inventory'!$A$3:$U$202,10,FALSE),"")</f>
        <v/>
      </c>
      <c r="J114" s="6"/>
      <c r="K114" s="6" t="str">
        <f t="shared" si="3"/>
        <v/>
      </c>
      <c r="L114" s="11"/>
    </row>
    <row r="115" spans="1:12">
      <c r="A115" s="10"/>
      <c r="B115" s="16"/>
      <c r="C115" s="25"/>
      <c r="D115" s="25"/>
      <c r="E115" s="6"/>
      <c r="F115" s="6"/>
      <c r="G115" s="6"/>
      <c r="H115" s="6" t="str">
        <f>IFERROR(VLOOKUP(G115,'Instrument Inventory'!$A$3:$U$202,2,FALSE),"")</f>
        <v/>
      </c>
      <c r="I115" s="6" t="str">
        <f>IFERROR(VLOOKUP(G115,'Instrument Inventory'!$A$3:$U$202,10,FALSE),"")</f>
        <v/>
      </c>
      <c r="J115" s="6"/>
      <c r="K115" s="6" t="str">
        <f t="shared" si="3"/>
        <v/>
      </c>
      <c r="L115" s="11"/>
    </row>
    <row r="116" spans="1:12">
      <c r="A116" s="10"/>
      <c r="B116" s="16"/>
      <c r="C116" s="25"/>
      <c r="D116" s="25"/>
      <c r="E116" s="6"/>
      <c r="F116" s="6"/>
      <c r="G116" s="6"/>
      <c r="H116" s="6" t="str">
        <f>IFERROR(VLOOKUP(G116,'Instrument Inventory'!$A$3:$U$202,2,FALSE),"")</f>
        <v/>
      </c>
      <c r="I116" s="6" t="str">
        <f>IFERROR(VLOOKUP(G116,'Instrument Inventory'!$A$3:$U$202,10,FALSE),"")</f>
        <v/>
      </c>
      <c r="J116" s="6"/>
      <c r="K116" s="6" t="str">
        <f t="shared" si="3"/>
        <v/>
      </c>
      <c r="L116" s="11"/>
    </row>
    <row r="117" spans="1:12">
      <c r="A117" s="10"/>
      <c r="B117" s="16"/>
      <c r="C117" s="25"/>
      <c r="D117" s="25"/>
      <c r="E117" s="6"/>
      <c r="F117" s="6"/>
      <c r="G117" s="6"/>
      <c r="H117" s="6" t="str">
        <f>IFERROR(VLOOKUP(G117,'Instrument Inventory'!$A$3:$U$202,2,FALSE),"")</f>
        <v/>
      </c>
      <c r="I117" s="6" t="str">
        <f>IFERROR(VLOOKUP(G117,'Instrument Inventory'!$A$3:$U$202,10,FALSE),"")</f>
        <v/>
      </c>
      <c r="J117" s="6"/>
      <c r="K117" s="6" t="str">
        <f t="shared" si="3"/>
        <v/>
      </c>
      <c r="L117" s="11"/>
    </row>
    <row r="118" spans="1:12">
      <c r="A118" s="10"/>
      <c r="B118" s="16"/>
      <c r="C118" s="25"/>
      <c r="D118" s="25"/>
      <c r="E118" s="6"/>
      <c r="F118" s="6"/>
      <c r="G118" s="6"/>
      <c r="H118" s="6" t="str">
        <f>IFERROR(VLOOKUP(G118,'Instrument Inventory'!$A$3:$U$202,2,FALSE),"")</f>
        <v/>
      </c>
      <c r="I118" s="6" t="str">
        <f>IFERROR(VLOOKUP(G118,'Instrument Inventory'!$A$3:$U$202,10,FALSE),"")</f>
        <v/>
      </c>
      <c r="J118" s="6"/>
      <c r="K118" s="6" t="str">
        <f t="shared" si="3"/>
        <v/>
      </c>
      <c r="L118" s="11"/>
    </row>
    <row r="119" spans="1:12">
      <c r="A119" s="10"/>
      <c r="B119" s="16"/>
      <c r="C119" s="25"/>
      <c r="D119" s="25"/>
      <c r="E119" s="6"/>
      <c r="F119" s="6"/>
      <c r="G119" s="6"/>
      <c r="H119" s="6" t="str">
        <f>IFERROR(VLOOKUP(G119,'Instrument Inventory'!$A$3:$U$202,2,FALSE),"")</f>
        <v/>
      </c>
      <c r="I119" s="6" t="str">
        <f>IFERROR(VLOOKUP(G119,'Instrument Inventory'!$A$3:$U$202,10,FALSE),"")</f>
        <v/>
      </c>
      <c r="J119" s="6"/>
      <c r="K119" s="6" t="str">
        <f t="shared" si="3"/>
        <v/>
      </c>
      <c r="L119" s="11"/>
    </row>
    <row r="120" spans="1:12">
      <c r="A120" s="10"/>
      <c r="B120" s="16"/>
      <c r="C120" s="25"/>
      <c r="D120" s="25"/>
      <c r="E120" s="6"/>
      <c r="F120" s="6"/>
      <c r="G120" s="6"/>
      <c r="H120" s="6" t="str">
        <f>IFERROR(VLOOKUP(G120,'Instrument Inventory'!$A$3:$U$202,2,FALSE),"")</f>
        <v/>
      </c>
      <c r="I120" s="6" t="str">
        <f>IFERROR(VLOOKUP(G120,'Instrument Inventory'!$A$3:$U$202,10,FALSE),"")</f>
        <v/>
      </c>
      <c r="J120" s="6"/>
      <c r="K120" s="6" t="str">
        <f t="shared" si="3"/>
        <v/>
      </c>
      <c r="L120" s="11"/>
    </row>
    <row r="121" spans="1:12">
      <c r="A121" s="10"/>
      <c r="B121" s="16"/>
      <c r="C121" s="25"/>
      <c r="D121" s="25"/>
      <c r="E121" s="6"/>
      <c r="F121" s="6"/>
      <c r="G121" s="6"/>
      <c r="H121" s="6" t="str">
        <f>IFERROR(VLOOKUP(G121,'Instrument Inventory'!$A$3:$U$202,2,FALSE),"")</f>
        <v/>
      </c>
      <c r="I121" s="6" t="str">
        <f>IFERROR(VLOOKUP(G121,'Instrument Inventory'!$A$3:$U$202,10,FALSE),"")</f>
        <v/>
      </c>
      <c r="J121" s="6"/>
      <c r="K121" s="6" t="str">
        <f t="shared" si="3"/>
        <v/>
      </c>
      <c r="L121" s="11"/>
    </row>
    <row r="122" spans="1:12">
      <c r="A122" s="10"/>
      <c r="B122" s="16"/>
      <c r="C122" s="25"/>
      <c r="D122" s="25"/>
      <c r="E122" s="6"/>
      <c r="F122" s="6"/>
      <c r="G122" s="6"/>
      <c r="H122" s="6" t="str">
        <f>IFERROR(VLOOKUP(G122,'Instrument Inventory'!$A$3:$U$202,2,FALSE),"")</f>
        <v/>
      </c>
      <c r="I122" s="6" t="str">
        <f>IFERROR(VLOOKUP(G122,'Instrument Inventory'!$A$3:$U$202,10,FALSE),"")</f>
        <v/>
      </c>
      <c r="J122" s="6"/>
      <c r="K122" s="6" t="str">
        <f t="shared" si="3"/>
        <v/>
      </c>
      <c r="L122" s="11"/>
    </row>
    <row r="123" spans="1:12">
      <c r="A123" s="10"/>
      <c r="B123" s="16"/>
      <c r="C123" s="25"/>
      <c r="D123" s="25"/>
      <c r="E123" s="6"/>
      <c r="F123" s="6"/>
      <c r="G123" s="6"/>
      <c r="H123" s="6" t="str">
        <f>IFERROR(VLOOKUP(G123,'Instrument Inventory'!$A$3:$U$202,2,FALSE),"")</f>
        <v/>
      </c>
      <c r="I123" s="6" t="str">
        <f>IFERROR(VLOOKUP(G123,'Instrument Inventory'!$A$3:$U$202,10,FALSE),"")</f>
        <v/>
      </c>
      <c r="J123" s="6"/>
      <c r="K123" s="6" t="str">
        <f t="shared" si="3"/>
        <v/>
      </c>
      <c r="L123" s="11"/>
    </row>
    <row r="124" spans="1:12">
      <c r="A124" s="10"/>
      <c r="B124" s="16"/>
      <c r="C124" s="25"/>
      <c r="D124" s="25"/>
      <c r="E124" s="6"/>
      <c r="F124" s="6"/>
      <c r="G124" s="6"/>
      <c r="H124" s="6" t="str">
        <f>IFERROR(VLOOKUP(G124,'Instrument Inventory'!$A$3:$U$202,2,FALSE),"")</f>
        <v/>
      </c>
      <c r="I124" s="6" t="str">
        <f>IFERROR(VLOOKUP(G124,'Instrument Inventory'!$A$3:$U$202,10,FALSE),"")</f>
        <v/>
      </c>
      <c r="J124" s="6"/>
      <c r="K124" s="6" t="str">
        <f t="shared" si="3"/>
        <v/>
      </c>
      <c r="L124" s="11"/>
    </row>
    <row r="125" spans="1:12">
      <c r="A125" s="10"/>
      <c r="B125" s="16"/>
      <c r="C125" s="25"/>
      <c r="D125" s="25"/>
      <c r="E125" s="6"/>
      <c r="F125" s="6"/>
      <c r="G125" s="6"/>
      <c r="H125" s="6" t="str">
        <f>IFERROR(VLOOKUP(G125,'Instrument Inventory'!$A$3:$U$202,2,FALSE),"")</f>
        <v/>
      </c>
      <c r="I125" s="6" t="str">
        <f>IFERROR(VLOOKUP(G125,'Instrument Inventory'!$A$3:$U$202,10,FALSE),"")</f>
        <v/>
      </c>
      <c r="J125" s="6"/>
      <c r="K125" s="6" t="str">
        <f t="shared" si="3"/>
        <v/>
      </c>
      <c r="L125" s="11"/>
    </row>
    <row r="126" spans="1:12">
      <c r="A126" s="10"/>
      <c r="B126" s="16"/>
      <c r="C126" s="25"/>
      <c r="D126" s="25"/>
      <c r="E126" s="6"/>
      <c r="F126" s="6"/>
      <c r="G126" s="6"/>
      <c r="H126" s="6" t="str">
        <f>IFERROR(VLOOKUP(G126,'Instrument Inventory'!$A$3:$U$202,2,FALSE),"")</f>
        <v/>
      </c>
      <c r="I126" s="6" t="str">
        <f>IFERROR(VLOOKUP(G126,'Instrument Inventory'!$A$3:$U$202,10,FALSE),"")</f>
        <v/>
      </c>
      <c r="J126" s="6"/>
      <c r="K126" s="6" t="str">
        <f t="shared" si="3"/>
        <v/>
      </c>
      <c r="L126" s="11"/>
    </row>
    <row r="127" spans="1:12">
      <c r="A127" s="10"/>
      <c r="B127" s="16"/>
      <c r="C127" s="25"/>
      <c r="D127" s="25"/>
      <c r="E127" s="6"/>
      <c r="F127" s="6"/>
      <c r="G127" s="6"/>
      <c r="H127" s="6" t="str">
        <f>IFERROR(VLOOKUP(G127,'Instrument Inventory'!$A$3:$U$202,2,FALSE),"")</f>
        <v/>
      </c>
      <c r="I127" s="6" t="str">
        <f>IFERROR(VLOOKUP(G127,'Instrument Inventory'!$A$3:$U$202,10,FALSE),"")</f>
        <v/>
      </c>
      <c r="J127" s="6"/>
      <c r="K127" s="6" t="str">
        <f t="shared" si="3"/>
        <v/>
      </c>
      <c r="L127" s="11"/>
    </row>
    <row r="128" spans="1:12">
      <c r="A128" s="10"/>
      <c r="B128" s="16"/>
      <c r="C128" s="25"/>
      <c r="D128" s="25"/>
      <c r="E128" s="6"/>
      <c r="F128" s="6"/>
      <c r="G128" s="6"/>
      <c r="H128" s="6" t="str">
        <f>IFERROR(VLOOKUP(G128,'Instrument Inventory'!$A$3:$U$202,2,FALSE),"")</f>
        <v/>
      </c>
      <c r="I128" s="6" t="str">
        <f>IFERROR(VLOOKUP(G128,'Instrument Inventory'!$A$3:$U$202,10,FALSE),"")</f>
        <v/>
      </c>
      <c r="J128" s="6"/>
      <c r="K128" s="6" t="str">
        <f t="shared" si="3"/>
        <v/>
      </c>
      <c r="L128" s="11"/>
    </row>
    <row r="129" spans="1:12">
      <c r="A129" s="10"/>
      <c r="B129" s="16"/>
      <c r="C129" s="25"/>
      <c r="D129" s="25"/>
      <c r="E129" s="6"/>
      <c r="F129" s="6"/>
      <c r="G129" s="6"/>
      <c r="H129" s="6" t="str">
        <f>IFERROR(VLOOKUP(G129,'Instrument Inventory'!$A$3:$U$202,2,FALSE),"")</f>
        <v/>
      </c>
      <c r="I129" s="6" t="str">
        <f>IFERROR(VLOOKUP(G129,'Instrument Inventory'!$A$3:$U$202,10,FALSE),"")</f>
        <v/>
      </c>
      <c r="J129" s="6"/>
      <c r="K129" s="6" t="str">
        <f t="shared" si="3"/>
        <v/>
      </c>
      <c r="L129" s="11"/>
    </row>
    <row r="130" spans="1:12">
      <c r="A130" s="10"/>
      <c r="B130" s="16"/>
      <c r="C130" s="25"/>
      <c r="D130" s="25"/>
      <c r="E130" s="6"/>
      <c r="F130" s="6"/>
      <c r="G130" s="6"/>
      <c r="H130" s="6" t="str">
        <f>IFERROR(VLOOKUP(G130,'Instrument Inventory'!$A$3:$U$202,2,FALSE),"")</f>
        <v/>
      </c>
      <c r="I130" s="6" t="str">
        <f>IFERROR(VLOOKUP(G130,'Instrument Inventory'!$A$3:$U$202,10,FALSE),"")</f>
        <v/>
      </c>
      <c r="J130" s="6"/>
      <c r="K130" s="6" t="str">
        <f t="shared" si="3"/>
        <v/>
      </c>
      <c r="L130" s="11"/>
    </row>
    <row r="131" spans="1:12">
      <c r="A131" s="10"/>
      <c r="B131" s="16"/>
      <c r="C131" s="25"/>
      <c r="D131" s="25"/>
      <c r="E131" s="6"/>
      <c r="F131" s="6"/>
      <c r="G131" s="6"/>
      <c r="H131" s="6" t="str">
        <f>IFERROR(VLOOKUP(G131,'Instrument Inventory'!$A$3:$U$202,2,FALSE),"")</f>
        <v/>
      </c>
      <c r="I131" s="6" t="str">
        <f>IFERROR(VLOOKUP(G131,'Instrument Inventory'!$A$3:$U$202,10,FALSE),"")</f>
        <v/>
      </c>
      <c r="J131" s="6"/>
      <c r="K131" s="6" t="str">
        <f t="shared" ref="K131:K162" si="4">IF(OR(B131="",C131="",D131="",G131=""),"",IF(COUNTIFS($B$3:$B$202,B131,$G$3:$G$202,G131,$C$3:$C$202,"&lt;"&amp;D131,$D$3:$D$202,"&gt;"&amp;C131)&gt;1,"CONFLICT","OK"))</f>
        <v/>
      </c>
      <c r="L131" s="11"/>
    </row>
    <row r="132" spans="1:12">
      <c r="A132" s="10"/>
      <c r="B132" s="16"/>
      <c r="C132" s="25"/>
      <c r="D132" s="25"/>
      <c r="E132" s="6"/>
      <c r="F132" s="6"/>
      <c r="G132" s="6"/>
      <c r="H132" s="6" t="str">
        <f>IFERROR(VLOOKUP(G132,'Instrument Inventory'!$A$3:$U$202,2,FALSE),"")</f>
        <v/>
      </c>
      <c r="I132" s="6" t="str">
        <f>IFERROR(VLOOKUP(G132,'Instrument Inventory'!$A$3:$U$202,10,FALSE),"")</f>
        <v/>
      </c>
      <c r="J132" s="6"/>
      <c r="K132" s="6" t="str">
        <f t="shared" si="4"/>
        <v/>
      </c>
      <c r="L132" s="11"/>
    </row>
    <row r="133" spans="1:12">
      <c r="A133" s="10"/>
      <c r="B133" s="16"/>
      <c r="C133" s="25"/>
      <c r="D133" s="25"/>
      <c r="E133" s="6"/>
      <c r="F133" s="6"/>
      <c r="G133" s="6"/>
      <c r="H133" s="6" t="str">
        <f>IFERROR(VLOOKUP(G133,'Instrument Inventory'!$A$3:$U$202,2,FALSE),"")</f>
        <v/>
      </c>
      <c r="I133" s="6" t="str">
        <f>IFERROR(VLOOKUP(G133,'Instrument Inventory'!$A$3:$U$202,10,FALSE),"")</f>
        <v/>
      </c>
      <c r="J133" s="6"/>
      <c r="K133" s="6" t="str">
        <f t="shared" si="4"/>
        <v/>
      </c>
      <c r="L133" s="11"/>
    </row>
    <row r="134" spans="1:12">
      <c r="A134" s="10"/>
      <c r="B134" s="16"/>
      <c r="C134" s="25"/>
      <c r="D134" s="25"/>
      <c r="E134" s="6"/>
      <c r="F134" s="6"/>
      <c r="G134" s="6"/>
      <c r="H134" s="6" t="str">
        <f>IFERROR(VLOOKUP(G134,'Instrument Inventory'!$A$3:$U$202,2,FALSE),"")</f>
        <v/>
      </c>
      <c r="I134" s="6" t="str">
        <f>IFERROR(VLOOKUP(G134,'Instrument Inventory'!$A$3:$U$202,10,FALSE),"")</f>
        <v/>
      </c>
      <c r="J134" s="6"/>
      <c r="K134" s="6" t="str">
        <f t="shared" si="4"/>
        <v/>
      </c>
      <c r="L134" s="11"/>
    </row>
    <row r="135" spans="1:12">
      <c r="A135" s="10"/>
      <c r="B135" s="16"/>
      <c r="C135" s="25"/>
      <c r="D135" s="25"/>
      <c r="E135" s="6"/>
      <c r="F135" s="6"/>
      <c r="G135" s="6"/>
      <c r="H135" s="6" t="str">
        <f>IFERROR(VLOOKUP(G135,'Instrument Inventory'!$A$3:$U$202,2,FALSE),"")</f>
        <v/>
      </c>
      <c r="I135" s="6" t="str">
        <f>IFERROR(VLOOKUP(G135,'Instrument Inventory'!$A$3:$U$202,10,FALSE),"")</f>
        <v/>
      </c>
      <c r="J135" s="6"/>
      <c r="K135" s="6" t="str">
        <f t="shared" si="4"/>
        <v/>
      </c>
      <c r="L135" s="11"/>
    </row>
    <row r="136" spans="1:12">
      <c r="A136" s="10"/>
      <c r="B136" s="16"/>
      <c r="C136" s="25"/>
      <c r="D136" s="25"/>
      <c r="E136" s="6"/>
      <c r="F136" s="6"/>
      <c r="G136" s="6"/>
      <c r="H136" s="6" t="str">
        <f>IFERROR(VLOOKUP(G136,'Instrument Inventory'!$A$3:$U$202,2,FALSE),"")</f>
        <v/>
      </c>
      <c r="I136" s="6" t="str">
        <f>IFERROR(VLOOKUP(G136,'Instrument Inventory'!$A$3:$U$202,10,FALSE),"")</f>
        <v/>
      </c>
      <c r="J136" s="6"/>
      <c r="K136" s="6" t="str">
        <f t="shared" si="4"/>
        <v/>
      </c>
      <c r="L136" s="11"/>
    </row>
    <row r="137" spans="1:12">
      <c r="A137" s="10"/>
      <c r="B137" s="16"/>
      <c r="C137" s="25"/>
      <c r="D137" s="25"/>
      <c r="E137" s="6"/>
      <c r="F137" s="6"/>
      <c r="G137" s="6"/>
      <c r="H137" s="6" t="str">
        <f>IFERROR(VLOOKUP(G137,'Instrument Inventory'!$A$3:$U$202,2,FALSE),"")</f>
        <v/>
      </c>
      <c r="I137" s="6" t="str">
        <f>IFERROR(VLOOKUP(G137,'Instrument Inventory'!$A$3:$U$202,10,FALSE),"")</f>
        <v/>
      </c>
      <c r="J137" s="6"/>
      <c r="K137" s="6" t="str">
        <f t="shared" si="4"/>
        <v/>
      </c>
      <c r="L137" s="11"/>
    </row>
    <row r="138" spans="1:12">
      <c r="A138" s="10"/>
      <c r="B138" s="16"/>
      <c r="C138" s="25"/>
      <c r="D138" s="25"/>
      <c r="E138" s="6"/>
      <c r="F138" s="6"/>
      <c r="G138" s="6"/>
      <c r="H138" s="6" t="str">
        <f>IFERROR(VLOOKUP(G138,'Instrument Inventory'!$A$3:$U$202,2,FALSE),"")</f>
        <v/>
      </c>
      <c r="I138" s="6" t="str">
        <f>IFERROR(VLOOKUP(G138,'Instrument Inventory'!$A$3:$U$202,10,FALSE),"")</f>
        <v/>
      </c>
      <c r="J138" s="6"/>
      <c r="K138" s="6" t="str">
        <f t="shared" si="4"/>
        <v/>
      </c>
      <c r="L138" s="11"/>
    </row>
    <row r="139" spans="1:12">
      <c r="A139" s="10"/>
      <c r="B139" s="16"/>
      <c r="C139" s="25"/>
      <c r="D139" s="25"/>
      <c r="E139" s="6"/>
      <c r="F139" s="6"/>
      <c r="G139" s="6"/>
      <c r="H139" s="6" t="str">
        <f>IFERROR(VLOOKUP(G139,'Instrument Inventory'!$A$3:$U$202,2,FALSE),"")</f>
        <v/>
      </c>
      <c r="I139" s="6" t="str">
        <f>IFERROR(VLOOKUP(G139,'Instrument Inventory'!$A$3:$U$202,10,FALSE),"")</f>
        <v/>
      </c>
      <c r="J139" s="6"/>
      <c r="K139" s="6" t="str">
        <f t="shared" si="4"/>
        <v/>
      </c>
      <c r="L139" s="11"/>
    </row>
    <row r="140" spans="1:12">
      <c r="A140" s="10"/>
      <c r="B140" s="16"/>
      <c r="C140" s="25"/>
      <c r="D140" s="25"/>
      <c r="E140" s="6"/>
      <c r="F140" s="6"/>
      <c r="G140" s="6"/>
      <c r="H140" s="6" t="str">
        <f>IFERROR(VLOOKUP(G140,'Instrument Inventory'!$A$3:$U$202,2,FALSE),"")</f>
        <v/>
      </c>
      <c r="I140" s="6" t="str">
        <f>IFERROR(VLOOKUP(G140,'Instrument Inventory'!$A$3:$U$202,10,FALSE),"")</f>
        <v/>
      </c>
      <c r="J140" s="6"/>
      <c r="K140" s="6" t="str">
        <f t="shared" si="4"/>
        <v/>
      </c>
      <c r="L140" s="11"/>
    </row>
    <row r="141" spans="1:12">
      <c r="A141" s="10"/>
      <c r="B141" s="16"/>
      <c r="C141" s="25"/>
      <c r="D141" s="25"/>
      <c r="E141" s="6"/>
      <c r="F141" s="6"/>
      <c r="G141" s="6"/>
      <c r="H141" s="6" t="str">
        <f>IFERROR(VLOOKUP(G141,'Instrument Inventory'!$A$3:$U$202,2,FALSE),"")</f>
        <v/>
      </c>
      <c r="I141" s="6" t="str">
        <f>IFERROR(VLOOKUP(G141,'Instrument Inventory'!$A$3:$U$202,10,FALSE),"")</f>
        <v/>
      </c>
      <c r="J141" s="6"/>
      <c r="K141" s="6" t="str">
        <f t="shared" si="4"/>
        <v/>
      </c>
      <c r="L141" s="11"/>
    </row>
    <row r="142" spans="1:12">
      <c r="A142" s="10"/>
      <c r="B142" s="16"/>
      <c r="C142" s="25"/>
      <c r="D142" s="25"/>
      <c r="E142" s="6"/>
      <c r="F142" s="6"/>
      <c r="G142" s="6"/>
      <c r="H142" s="6" t="str">
        <f>IFERROR(VLOOKUP(G142,'Instrument Inventory'!$A$3:$U$202,2,FALSE),"")</f>
        <v/>
      </c>
      <c r="I142" s="6" t="str">
        <f>IFERROR(VLOOKUP(G142,'Instrument Inventory'!$A$3:$U$202,10,FALSE),"")</f>
        <v/>
      </c>
      <c r="J142" s="6"/>
      <c r="K142" s="6" t="str">
        <f t="shared" si="4"/>
        <v/>
      </c>
      <c r="L142" s="11"/>
    </row>
    <row r="143" spans="1:12">
      <c r="A143" s="10"/>
      <c r="B143" s="16"/>
      <c r="C143" s="25"/>
      <c r="D143" s="25"/>
      <c r="E143" s="6"/>
      <c r="F143" s="6"/>
      <c r="G143" s="6"/>
      <c r="H143" s="6" t="str">
        <f>IFERROR(VLOOKUP(G143,'Instrument Inventory'!$A$3:$U$202,2,FALSE),"")</f>
        <v/>
      </c>
      <c r="I143" s="6" t="str">
        <f>IFERROR(VLOOKUP(G143,'Instrument Inventory'!$A$3:$U$202,10,FALSE),"")</f>
        <v/>
      </c>
      <c r="J143" s="6"/>
      <c r="K143" s="6" t="str">
        <f t="shared" si="4"/>
        <v/>
      </c>
      <c r="L143" s="11"/>
    </row>
    <row r="144" spans="1:12">
      <c r="A144" s="10"/>
      <c r="B144" s="16"/>
      <c r="C144" s="25"/>
      <c r="D144" s="25"/>
      <c r="E144" s="6"/>
      <c r="F144" s="6"/>
      <c r="G144" s="6"/>
      <c r="H144" s="6" t="str">
        <f>IFERROR(VLOOKUP(G144,'Instrument Inventory'!$A$3:$U$202,2,FALSE),"")</f>
        <v/>
      </c>
      <c r="I144" s="6" t="str">
        <f>IFERROR(VLOOKUP(G144,'Instrument Inventory'!$A$3:$U$202,10,FALSE),"")</f>
        <v/>
      </c>
      <c r="J144" s="6"/>
      <c r="K144" s="6" t="str">
        <f t="shared" si="4"/>
        <v/>
      </c>
      <c r="L144" s="11"/>
    </row>
    <row r="145" spans="1:12">
      <c r="A145" s="10"/>
      <c r="B145" s="16"/>
      <c r="C145" s="25"/>
      <c r="D145" s="25"/>
      <c r="E145" s="6"/>
      <c r="F145" s="6"/>
      <c r="G145" s="6"/>
      <c r="H145" s="6" t="str">
        <f>IFERROR(VLOOKUP(G145,'Instrument Inventory'!$A$3:$U$202,2,FALSE),"")</f>
        <v/>
      </c>
      <c r="I145" s="6" t="str">
        <f>IFERROR(VLOOKUP(G145,'Instrument Inventory'!$A$3:$U$202,10,FALSE),"")</f>
        <v/>
      </c>
      <c r="J145" s="6"/>
      <c r="K145" s="6" t="str">
        <f t="shared" si="4"/>
        <v/>
      </c>
      <c r="L145" s="11"/>
    </row>
    <row r="146" spans="1:12">
      <c r="A146" s="10"/>
      <c r="B146" s="16"/>
      <c r="C146" s="25"/>
      <c r="D146" s="25"/>
      <c r="E146" s="6"/>
      <c r="F146" s="6"/>
      <c r="G146" s="6"/>
      <c r="H146" s="6" t="str">
        <f>IFERROR(VLOOKUP(G146,'Instrument Inventory'!$A$3:$U$202,2,FALSE),"")</f>
        <v/>
      </c>
      <c r="I146" s="6" t="str">
        <f>IFERROR(VLOOKUP(G146,'Instrument Inventory'!$A$3:$U$202,10,FALSE),"")</f>
        <v/>
      </c>
      <c r="J146" s="6"/>
      <c r="K146" s="6" t="str">
        <f t="shared" si="4"/>
        <v/>
      </c>
      <c r="L146" s="11"/>
    </row>
    <row r="147" spans="1:12">
      <c r="A147" s="10"/>
      <c r="B147" s="16"/>
      <c r="C147" s="25"/>
      <c r="D147" s="25"/>
      <c r="E147" s="6"/>
      <c r="F147" s="6"/>
      <c r="G147" s="6"/>
      <c r="H147" s="6" t="str">
        <f>IFERROR(VLOOKUP(G147,'Instrument Inventory'!$A$3:$U$202,2,FALSE),"")</f>
        <v/>
      </c>
      <c r="I147" s="6" t="str">
        <f>IFERROR(VLOOKUP(G147,'Instrument Inventory'!$A$3:$U$202,10,FALSE),"")</f>
        <v/>
      </c>
      <c r="J147" s="6"/>
      <c r="K147" s="6" t="str">
        <f t="shared" si="4"/>
        <v/>
      </c>
      <c r="L147" s="11"/>
    </row>
    <row r="148" spans="1:12">
      <c r="A148" s="10"/>
      <c r="B148" s="16"/>
      <c r="C148" s="25"/>
      <c r="D148" s="25"/>
      <c r="E148" s="6"/>
      <c r="F148" s="6"/>
      <c r="G148" s="6"/>
      <c r="H148" s="6" t="str">
        <f>IFERROR(VLOOKUP(G148,'Instrument Inventory'!$A$3:$U$202,2,FALSE),"")</f>
        <v/>
      </c>
      <c r="I148" s="6" t="str">
        <f>IFERROR(VLOOKUP(G148,'Instrument Inventory'!$A$3:$U$202,10,FALSE),"")</f>
        <v/>
      </c>
      <c r="J148" s="6"/>
      <c r="K148" s="6" t="str">
        <f t="shared" si="4"/>
        <v/>
      </c>
      <c r="L148" s="11"/>
    </row>
    <row r="149" spans="1:12">
      <c r="A149" s="10"/>
      <c r="B149" s="16"/>
      <c r="C149" s="25"/>
      <c r="D149" s="25"/>
      <c r="E149" s="6"/>
      <c r="F149" s="6"/>
      <c r="G149" s="6"/>
      <c r="H149" s="6" t="str">
        <f>IFERROR(VLOOKUP(G149,'Instrument Inventory'!$A$3:$U$202,2,FALSE),"")</f>
        <v/>
      </c>
      <c r="I149" s="6" t="str">
        <f>IFERROR(VLOOKUP(G149,'Instrument Inventory'!$A$3:$U$202,10,FALSE),"")</f>
        <v/>
      </c>
      <c r="J149" s="6"/>
      <c r="K149" s="6" t="str">
        <f t="shared" si="4"/>
        <v/>
      </c>
      <c r="L149" s="11"/>
    </row>
    <row r="150" spans="1:12">
      <c r="A150" s="10"/>
      <c r="B150" s="16"/>
      <c r="C150" s="25"/>
      <c r="D150" s="25"/>
      <c r="E150" s="6"/>
      <c r="F150" s="6"/>
      <c r="G150" s="6"/>
      <c r="H150" s="6" t="str">
        <f>IFERROR(VLOOKUP(G150,'Instrument Inventory'!$A$3:$U$202,2,FALSE),"")</f>
        <v/>
      </c>
      <c r="I150" s="6" t="str">
        <f>IFERROR(VLOOKUP(G150,'Instrument Inventory'!$A$3:$U$202,10,FALSE),"")</f>
        <v/>
      </c>
      <c r="J150" s="6"/>
      <c r="K150" s="6" t="str">
        <f t="shared" si="4"/>
        <v/>
      </c>
      <c r="L150" s="11"/>
    </row>
    <row r="151" spans="1:12">
      <c r="A151" s="10"/>
      <c r="B151" s="16"/>
      <c r="C151" s="25"/>
      <c r="D151" s="25"/>
      <c r="E151" s="6"/>
      <c r="F151" s="6"/>
      <c r="G151" s="6"/>
      <c r="H151" s="6" t="str">
        <f>IFERROR(VLOOKUP(G151,'Instrument Inventory'!$A$3:$U$202,2,FALSE),"")</f>
        <v/>
      </c>
      <c r="I151" s="6" t="str">
        <f>IFERROR(VLOOKUP(G151,'Instrument Inventory'!$A$3:$U$202,10,FALSE),"")</f>
        <v/>
      </c>
      <c r="J151" s="6"/>
      <c r="K151" s="6" t="str">
        <f t="shared" si="4"/>
        <v/>
      </c>
      <c r="L151" s="11"/>
    </row>
    <row r="152" spans="1:12">
      <c r="A152" s="10"/>
      <c r="B152" s="16"/>
      <c r="C152" s="25"/>
      <c r="D152" s="25"/>
      <c r="E152" s="6"/>
      <c r="F152" s="6"/>
      <c r="G152" s="6"/>
      <c r="H152" s="6" t="str">
        <f>IFERROR(VLOOKUP(G152,'Instrument Inventory'!$A$3:$U$202,2,FALSE),"")</f>
        <v/>
      </c>
      <c r="I152" s="6" t="str">
        <f>IFERROR(VLOOKUP(G152,'Instrument Inventory'!$A$3:$U$202,10,FALSE),"")</f>
        <v/>
      </c>
      <c r="J152" s="6"/>
      <c r="K152" s="6" t="str">
        <f t="shared" si="4"/>
        <v/>
      </c>
      <c r="L152" s="11"/>
    </row>
    <row r="153" spans="1:12">
      <c r="A153" s="10"/>
      <c r="B153" s="16"/>
      <c r="C153" s="25"/>
      <c r="D153" s="25"/>
      <c r="E153" s="6"/>
      <c r="F153" s="6"/>
      <c r="G153" s="6"/>
      <c r="H153" s="6" t="str">
        <f>IFERROR(VLOOKUP(G153,'Instrument Inventory'!$A$3:$U$202,2,FALSE),"")</f>
        <v/>
      </c>
      <c r="I153" s="6" t="str">
        <f>IFERROR(VLOOKUP(G153,'Instrument Inventory'!$A$3:$U$202,10,FALSE),"")</f>
        <v/>
      </c>
      <c r="J153" s="6"/>
      <c r="K153" s="6" t="str">
        <f t="shared" si="4"/>
        <v/>
      </c>
      <c r="L153" s="11"/>
    </row>
    <row r="154" spans="1:12">
      <c r="A154" s="10"/>
      <c r="B154" s="16"/>
      <c r="C154" s="25"/>
      <c r="D154" s="25"/>
      <c r="E154" s="6"/>
      <c r="F154" s="6"/>
      <c r="G154" s="6"/>
      <c r="H154" s="6" t="str">
        <f>IFERROR(VLOOKUP(G154,'Instrument Inventory'!$A$3:$U$202,2,FALSE),"")</f>
        <v/>
      </c>
      <c r="I154" s="6" t="str">
        <f>IFERROR(VLOOKUP(G154,'Instrument Inventory'!$A$3:$U$202,10,FALSE),"")</f>
        <v/>
      </c>
      <c r="J154" s="6"/>
      <c r="K154" s="6" t="str">
        <f t="shared" si="4"/>
        <v/>
      </c>
      <c r="L154" s="11"/>
    </row>
    <row r="155" spans="1:12">
      <c r="A155" s="10"/>
      <c r="B155" s="16"/>
      <c r="C155" s="25"/>
      <c r="D155" s="25"/>
      <c r="E155" s="6"/>
      <c r="F155" s="6"/>
      <c r="G155" s="6"/>
      <c r="H155" s="6" t="str">
        <f>IFERROR(VLOOKUP(G155,'Instrument Inventory'!$A$3:$U$202,2,FALSE),"")</f>
        <v/>
      </c>
      <c r="I155" s="6" t="str">
        <f>IFERROR(VLOOKUP(G155,'Instrument Inventory'!$A$3:$U$202,10,FALSE),"")</f>
        <v/>
      </c>
      <c r="J155" s="6"/>
      <c r="K155" s="6" t="str">
        <f t="shared" si="4"/>
        <v/>
      </c>
      <c r="L155" s="11"/>
    </row>
    <row r="156" spans="1:12">
      <c r="A156" s="10"/>
      <c r="B156" s="16"/>
      <c r="C156" s="25"/>
      <c r="D156" s="25"/>
      <c r="E156" s="6"/>
      <c r="F156" s="6"/>
      <c r="G156" s="6"/>
      <c r="H156" s="6" t="str">
        <f>IFERROR(VLOOKUP(G156,'Instrument Inventory'!$A$3:$U$202,2,FALSE),"")</f>
        <v/>
      </c>
      <c r="I156" s="6" t="str">
        <f>IFERROR(VLOOKUP(G156,'Instrument Inventory'!$A$3:$U$202,10,FALSE),"")</f>
        <v/>
      </c>
      <c r="J156" s="6"/>
      <c r="K156" s="6" t="str">
        <f t="shared" si="4"/>
        <v/>
      </c>
      <c r="L156" s="11"/>
    </row>
    <row r="157" spans="1:12">
      <c r="A157" s="10"/>
      <c r="B157" s="16"/>
      <c r="C157" s="25"/>
      <c r="D157" s="25"/>
      <c r="E157" s="6"/>
      <c r="F157" s="6"/>
      <c r="G157" s="6"/>
      <c r="H157" s="6" t="str">
        <f>IFERROR(VLOOKUP(G157,'Instrument Inventory'!$A$3:$U$202,2,FALSE),"")</f>
        <v/>
      </c>
      <c r="I157" s="6" t="str">
        <f>IFERROR(VLOOKUP(G157,'Instrument Inventory'!$A$3:$U$202,10,FALSE),"")</f>
        <v/>
      </c>
      <c r="J157" s="6"/>
      <c r="K157" s="6" t="str">
        <f t="shared" si="4"/>
        <v/>
      </c>
      <c r="L157" s="11"/>
    </row>
    <row r="158" spans="1:12">
      <c r="A158" s="10"/>
      <c r="B158" s="16"/>
      <c r="C158" s="25"/>
      <c r="D158" s="25"/>
      <c r="E158" s="6"/>
      <c r="F158" s="6"/>
      <c r="G158" s="6"/>
      <c r="H158" s="6" t="str">
        <f>IFERROR(VLOOKUP(G158,'Instrument Inventory'!$A$3:$U$202,2,FALSE),"")</f>
        <v/>
      </c>
      <c r="I158" s="6" t="str">
        <f>IFERROR(VLOOKUP(G158,'Instrument Inventory'!$A$3:$U$202,10,FALSE),"")</f>
        <v/>
      </c>
      <c r="J158" s="6"/>
      <c r="K158" s="6" t="str">
        <f t="shared" si="4"/>
        <v/>
      </c>
      <c r="L158" s="11"/>
    </row>
    <row r="159" spans="1:12">
      <c r="A159" s="10"/>
      <c r="B159" s="16"/>
      <c r="C159" s="25"/>
      <c r="D159" s="25"/>
      <c r="E159" s="6"/>
      <c r="F159" s="6"/>
      <c r="G159" s="6"/>
      <c r="H159" s="6" t="str">
        <f>IFERROR(VLOOKUP(G159,'Instrument Inventory'!$A$3:$U$202,2,FALSE),"")</f>
        <v/>
      </c>
      <c r="I159" s="6" t="str">
        <f>IFERROR(VLOOKUP(G159,'Instrument Inventory'!$A$3:$U$202,10,FALSE),"")</f>
        <v/>
      </c>
      <c r="J159" s="6"/>
      <c r="K159" s="6" t="str">
        <f t="shared" si="4"/>
        <v/>
      </c>
      <c r="L159" s="11"/>
    </row>
    <row r="160" spans="1:12">
      <c r="A160" s="10"/>
      <c r="B160" s="16"/>
      <c r="C160" s="25"/>
      <c r="D160" s="25"/>
      <c r="E160" s="6"/>
      <c r="F160" s="6"/>
      <c r="G160" s="6"/>
      <c r="H160" s="6" t="str">
        <f>IFERROR(VLOOKUP(G160,'Instrument Inventory'!$A$3:$U$202,2,FALSE),"")</f>
        <v/>
      </c>
      <c r="I160" s="6" t="str">
        <f>IFERROR(VLOOKUP(G160,'Instrument Inventory'!$A$3:$U$202,10,FALSE),"")</f>
        <v/>
      </c>
      <c r="J160" s="6"/>
      <c r="K160" s="6" t="str">
        <f t="shared" si="4"/>
        <v/>
      </c>
      <c r="L160" s="11"/>
    </row>
    <row r="161" spans="1:12">
      <c r="A161" s="10"/>
      <c r="B161" s="16"/>
      <c r="C161" s="25"/>
      <c r="D161" s="25"/>
      <c r="E161" s="6"/>
      <c r="F161" s="6"/>
      <c r="G161" s="6"/>
      <c r="H161" s="6" t="str">
        <f>IFERROR(VLOOKUP(G161,'Instrument Inventory'!$A$3:$U$202,2,FALSE),"")</f>
        <v/>
      </c>
      <c r="I161" s="6" t="str">
        <f>IFERROR(VLOOKUP(G161,'Instrument Inventory'!$A$3:$U$202,10,FALSE),"")</f>
        <v/>
      </c>
      <c r="J161" s="6"/>
      <c r="K161" s="6" t="str">
        <f t="shared" si="4"/>
        <v/>
      </c>
      <c r="L161" s="11"/>
    </row>
    <row r="162" spans="1:12">
      <c r="A162" s="10"/>
      <c r="B162" s="16"/>
      <c r="C162" s="25"/>
      <c r="D162" s="25"/>
      <c r="E162" s="6"/>
      <c r="F162" s="6"/>
      <c r="G162" s="6"/>
      <c r="H162" s="6" t="str">
        <f>IFERROR(VLOOKUP(G162,'Instrument Inventory'!$A$3:$U$202,2,FALSE),"")</f>
        <v/>
      </c>
      <c r="I162" s="6" t="str">
        <f>IFERROR(VLOOKUP(G162,'Instrument Inventory'!$A$3:$U$202,10,FALSE),"")</f>
        <v/>
      </c>
      <c r="J162" s="6"/>
      <c r="K162" s="6" t="str">
        <f t="shared" si="4"/>
        <v/>
      </c>
      <c r="L162" s="11"/>
    </row>
    <row r="163" spans="1:12">
      <c r="A163" s="10"/>
      <c r="B163" s="16"/>
      <c r="C163" s="25"/>
      <c r="D163" s="25"/>
      <c r="E163" s="6"/>
      <c r="F163" s="6"/>
      <c r="G163" s="6"/>
      <c r="H163" s="6" t="str">
        <f>IFERROR(VLOOKUP(G163,'Instrument Inventory'!$A$3:$U$202,2,FALSE),"")</f>
        <v/>
      </c>
      <c r="I163" s="6" t="str">
        <f>IFERROR(VLOOKUP(G163,'Instrument Inventory'!$A$3:$U$202,10,FALSE),"")</f>
        <v/>
      </c>
      <c r="J163" s="6"/>
      <c r="K163" s="6" t="str">
        <f t="shared" ref="K163:K194" si="5">IF(OR(B163="",C163="",D163="",G163=""),"",IF(COUNTIFS($B$3:$B$202,B163,$G$3:$G$202,G163,$C$3:$C$202,"&lt;"&amp;D163,$D$3:$D$202,"&gt;"&amp;C163)&gt;1,"CONFLICT","OK"))</f>
        <v/>
      </c>
      <c r="L163" s="11"/>
    </row>
    <row r="164" spans="1:12">
      <c r="A164" s="10"/>
      <c r="B164" s="16"/>
      <c r="C164" s="25"/>
      <c r="D164" s="25"/>
      <c r="E164" s="6"/>
      <c r="F164" s="6"/>
      <c r="G164" s="6"/>
      <c r="H164" s="6" t="str">
        <f>IFERROR(VLOOKUP(G164,'Instrument Inventory'!$A$3:$U$202,2,FALSE),"")</f>
        <v/>
      </c>
      <c r="I164" s="6" t="str">
        <f>IFERROR(VLOOKUP(G164,'Instrument Inventory'!$A$3:$U$202,10,FALSE),"")</f>
        <v/>
      </c>
      <c r="J164" s="6"/>
      <c r="K164" s="6" t="str">
        <f t="shared" si="5"/>
        <v/>
      </c>
      <c r="L164" s="11"/>
    </row>
    <row r="165" spans="1:12">
      <c r="A165" s="10"/>
      <c r="B165" s="16"/>
      <c r="C165" s="25"/>
      <c r="D165" s="25"/>
      <c r="E165" s="6"/>
      <c r="F165" s="6"/>
      <c r="G165" s="6"/>
      <c r="H165" s="6" t="str">
        <f>IFERROR(VLOOKUP(G165,'Instrument Inventory'!$A$3:$U$202,2,FALSE),"")</f>
        <v/>
      </c>
      <c r="I165" s="6" t="str">
        <f>IFERROR(VLOOKUP(G165,'Instrument Inventory'!$A$3:$U$202,10,FALSE),"")</f>
        <v/>
      </c>
      <c r="J165" s="6"/>
      <c r="K165" s="6" t="str">
        <f t="shared" si="5"/>
        <v/>
      </c>
      <c r="L165" s="11"/>
    </row>
    <row r="166" spans="1:12">
      <c r="A166" s="10"/>
      <c r="B166" s="16"/>
      <c r="C166" s="25"/>
      <c r="D166" s="25"/>
      <c r="E166" s="6"/>
      <c r="F166" s="6"/>
      <c r="G166" s="6"/>
      <c r="H166" s="6" t="str">
        <f>IFERROR(VLOOKUP(G166,'Instrument Inventory'!$A$3:$U$202,2,FALSE),"")</f>
        <v/>
      </c>
      <c r="I166" s="6" t="str">
        <f>IFERROR(VLOOKUP(G166,'Instrument Inventory'!$A$3:$U$202,10,FALSE),"")</f>
        <v/>
      </c>
      <c r="J166" s="6"/>
      <c r="K166" s="6" t="str">
        <f t="shared" si="5"/>
        <v/>
      </c>
      <c r="L166" s="11"/>
    </row>
    <row r="167" spans="1:12">
      <c r="A167" s="10"/>
      <c r="B167" s="16"/>
      <c r="C167" s="25"/>
      <c r="D167" s="25"/>
      <c r="E167" s="6"/>
      <c r="F167" s="6"/>
      <c r="G167" s="6"/>
      <c r="H167" s="6" t="str">
        <f>IFERROR(VLOOKUP(G167,'Instrument Inventory'!$A$3:$U$202,2,FALSE),"")</f>
        <v/>
      </c>
      <c r="I167" s="6" t="str">
        <f>IFERROR(VLOOKUP(G167,'Instrument Inventory'!$A$3:$U$202,10,FALSE),"")</f>
        <v/>
      </c>
      <c r="J167" s="6"/>
      <c r="K167" s="6" t="str">
        <f t="shared" si="5"/>
        <v/>
      </c>
      <c r="L167" s="11"/>
    </row>
    <row r="168" spans="1:12">
      <c r="A168" s="10"/>
      <c r="B168" s="16"/>
      <c r="C168" s="25"/>
      <c r="D168" s="25"/>
      <c r="E168" s="6"/>
      <c r="F168" s="6"/>
      <c r="G168" s="6"/>
      <c r="H168" s="6" t="str">
        <f>IFERROR(VLOOKUP(G168,'Instrument Inventory'!$A$3:$U$202,2,FALSE),"")</f>
        <v/>
      </c>
      <c r="I168" s="6" t="str">
        <f>IFERROR(VLOOKUP(G168,'Instrument Inventory'!$A$3:$U$202,10,FALSE),"")</f>
        <v/>
      </c>
      <c r="J168" s="6"/>
      <c r="K168" s="6" t="str">
        <f t="shared" si="5"/>
        <v/>
      </c>
      <c r="L168" s="11"/>
    </row>
    <row r="169" spans="1:12">
      <c r="A169" s="10"/>
      <c r="B169" s="16"/>
      <c r="C169" s="25"/>
      <c r="D169" s="25"/>
      <c r="E169" s="6"/>
      <c r="F169" s="6"/>
      <c r="G169" s="6"/>
      <c r="H169" s="6" t="str">
        <f>IFERROR(VLOOKUP(G169,'Instrument Inventory'!$A$3:$U$202,2,FALSE),"")</f>
        <v/>
      </c>
      <c r="I169" s="6" t="str">
        <f>IFERROR(VLOOKUP(G169,'Instrument Inventory'!$A$3:$U$202,10,FALSE),"")</f>
        <v/>
      </c>
      <c r="J169" s="6"/>
      <c r="K169" s="6" t="str">
        <f t="shared" si="5"/>
        <v/>
      </c>
      <c r="L169" s="11"/>
    </row>
    <row r="170" spans="1:12">
      <c r="A170" s="10"/>
      <c r="B170" s="16"/>
      <c r="C170" s="25"/>
      <c r="D170" s="25"/>
      <c r="E170" s="6"/>
      <c r="F170" s="6"/>
      <c r="G170" s="6"/>
      <c r="H170" s="6" t="str">
        <f>IFERROR(VLOOKUP(G170,'Instrument Inventory'!$A$3:$U$202,2,FALSE),"")</f>
        <v/>
      </c>
      <c r="I170" s="6" t="str">
        <f>IFERROR(VLOOKUP(G170,'Instrument Inventory'!$A$3:$U$202,10,FALSE),"")</f>
        <v/>
      </c>
      <c r="J170" s="6"/>
      <c r="K170" s="6" t="str">
        <f t="shared" si="5"/>
        <v/>
      </c>
      <c r="L170" s="11"/>
    </row>
    <row r="171" spans="1:12">
      <c r="A171" s="10"/>
      <c r="B171" s="16"/>
      <c r="C171" s="25"/>
      <c r="D171" s="25"/>
      <c r="E171" s="6"/>
      <c r="F171" s="6"/>
      <c r="G171" s="6"/>
      <c r="H171" s="6" t="str">
        <f>IFERROR(VLOOKUP(G171,'Instrument Inventory'!$A$3:$U$202,2,FALSE),"")</f>
        <v/>
      </c>
      <c r="I171" s="6" t="str">
        <f>IFERROR(VLOOKUP(G171,'Instrument Inventory'!$A$3:$U$202,10,FALSE),"")</f>
        <v/>
      </c>
      <c r="J171" s="6"/>
      <c r="K171" s="6" t="str">
        <f t="shared" si="5"/>
        <v/>
      </c>
      <c r="L171" s="11"/>
    </row>
    <row r="172" spans="1:12">
      <c r="A172" s="10"/>
      <c r="B172" s="16"/>
      <c r="C172" s="25"/>
      <c r="D172" s="25"/>
      <c r="E172" s="6"/>
      <c r="F172" s="6"/>
      <c r="G172" s="6"/>
      <c r="H172" s="6" t="str">
        <f>IFERROR(VLOOKUP(G172,'Instrument Inventory'!$A$3:$U$202,2,FALSE),"")</f>
        <v/>
      </c>
      <c r="I172" s="6" t="str">
        <f>IFERROR(VLOOKUP(G172,'Instrument Inventory'!$A$3:$U$202,10,FALSE),"")</f>
        <v/>
      </c>
      <c r="J172" s="6"/>
      <c r="K172" s="6" t="str">
        <f t="shared" si="5"/>
        <v/>
      </c>
      <c r="L172" s="11"/>
    </row>
    <row r="173" spans="1:12">
      <c r="A173" s="10"/>
      <c r="B173" s="16"/>
      <c r="C173" s="25"/>
      <c r="D173" s="25"/>
      <c r="E173" s="6"/>
      <c r="F173" s="6"/>
      <c r="G173" s="6"/>
      <c r="H173" s="6" t="str">
        <f>IFERROR(VLOOKUP(G173,'Instrument Inventory'!$A$3:$U$202,2,FALSE),"")</f>
        <v/>
      </c>
      <c r="I173" s="6" t="str">
        <f>IFERROR(VLOOKUP(G173,'Instrument Inventory'!$A$3:$U$202,10,FALSE),"")</f>
        <v/>
      </c>
      <c r="J173" s="6"/>
      <c r="K173" s="6" t="str">
        <f t="shared" si="5"/>
        <v/>
      </c>
      <c r="L173" s="11"/>
    </row>
    <row r="174" spans="1:12">
      <c r="A174" s="10"/>
      <c r="B174" s="16"/>
      <c r="C174" s="25"/>
      <c r="D174" s="25"/>
      <c r="E174" s="6"/>
      <c r="F174" s="6"/>
      <c r="G174" s="6"/>
      <c r="H174" s="6" t="str">
        <f>IFERROR(VLOOKUP(G174,'Instrument Inventory'!$A$3:$U$202,2,FALSE),"")</f>
        <v/>
      </c>
      <c r="I174" s="6" t="str">
        <f>IFERROR(VLOOKUP(G174,'Instrument Inventory'!$A$3:$U$202,10,FALSE),"")</f>
        <v/>
      </c>
      <c r="J174" s="6"/>
      <c r="K174" s="6" t="str">
        <f t="shared" si="5"/>
        <v/>
      </c>
      <c r="L174" s="11"/>
    </row>
    <row r="175" spans="1:12">
      <c r="A175" s="10"/>
      <c r="B175" s="16"/>
      <c r="C175" s="25"/>
      <c r="D175" s="25"/>
      <c r="E175" s="6"/>
      <c r="F175" s="6"/>
      <c r="G175" s="6"/>
      <c r="H175" s="6" t="str">
        <f>IFERROR(VLOOKUP(G175,'Instrument Inventory'!$A$3:$U$202,2,FALSE),"")</f>
        <v/>
      </c>
      <c r="I175" s="6" t="str">
        <f>IFERROR(VLOOKUP(G175,'Instrument Inventory'!$A$3:$U$202,10,FALSE),"")</f>
        <v/>
      </c>
      <c r="J175" s="6"/>
      <c r="K175" s="6" t="str">
        <f t="shared" si="5"/>
        <v/>
      </c>
      <c r="L175" s="11"/>
    </row>
    <row r="176" spans="1:12">
      <c r="A176" s="10"/>
      <c r="B176" s="16"/>
      <c r="C176" s="25"/>
      <c r="D176" s="25"/>
      <c r="E176" s="6"/>
      <c r="F176" s="6"/>
      <c r="G176" s="6"/>
      <c r="H176" s="6" t="str">
        <f>IFERROR(VLOOKUP(G176,'Instrument Inventory'!$A$3:$U$202,2,FALSE),"")</f>
        <v/>
      </c>
      <c r="I176" s="6" t="str">
        <f>IFERROR(VLOOKUP(G176,'Instrument Inventory'!$A$3:$U$202,10,FALSE),"")</f>
        <v/>
      </c>
      <c r="J176" s="6"/>
      <c r="K176" s="6" t="str">
        <f t="shared" si="5"/>
        <v/>
      </c>
      <c r="L176" s="11"/>
    </row>
    <row r="177" spans="1:12">
      <c r="A177" s="10"/>
      <c r="B177" s="16"/>
      <c r="C177" s="25"/>
      <c r="D177" s="25"/>
      <c r="E177" s="6"/>
      <c r="F177" s="6"/>
      <c r="G177" s="6"/>
      <c r="H177" s="6" t="str">
        <f>IFERROR(VLOOKUP(G177,'Instrument Inventory'!$A$3:$U$202,2,FALSE),"")</f>
        <v/>
      </c>
      <c r="I177" s="6" t="str">
        <f>IFERROR(VLOOKUP(G177,'Instrument Inventory'!$A$3:$U$202,10,FALSE),"")</f>
        <v/>
      </c>
      <c r="J177" s="6"/>
      <c r="K177" s="6" t="str">
        <f t="shared" si="5"/>
        <v/>
      </c>
      <c r="L177" s="11"/>
    </row>
    <row r="178" spans="1:12">
      <c r="A178" s="10"/>
      <c r="B178" s="16"/>
      <c r="C178" s="25"/>
      <c r="D178" s="25"/>
      <c r="E178" s="6"/>
      <c r="F178" s="6"/>
      <c r="G178" s="6"/>
      <c r="H178" s="6" t="str">
        <f>IFERROR(VLOOKUP(G178,'Instrument Inventory'!$A$3:$U$202,2,FALSE),"")</f>
        <v/>
      </c>
      <c r="I178" s="6" t="str">
        <f>IFERROR(VLOOKUP(G178,'Instrument Inventory'!$A$3:$U$202,10,FALSE),"")</f>
        <v/>
      </c>
      <c r="J178" s="6"/>
      <c r="K178" s="6" t="str">
        <f t="shared" si="5"/>
        <v/>
      </c>
      <c r="L178" s="11"/>
    </row>
    <row r="179" spans="1:12">
      <c r="A179" s="10"/>
      <c r="B179" s="16"/>
      <c r="C179" s="25"/>
      <c r="D179" s="25"/>
      <c r="E179" s="6"/>
      <c r="F179" s="6"/>
      <c r="G179" s="6"/>
      <c r="H179" s="6" t="str">
        <f>IFERROR(VLOOKUP(G179,'Instrument Inventory'!$A$3:$U$202,2,FALSE),"")</f>
        <v/>
      </c>
      <c r="I179" s="6" t="str">
        <f>IFERROR(VLOOKUP(G179,'Instrument Inventory'!$A$3:$U$202,10,FALSE),"")</f>
        <v/>
      </c>
      <c r="J179" s="6"/>
      <c r="K179" s="6" t="str">
        <f t="shared" si="5"/>
        <v/>
      </c>
      <c r="L179" s="11"/>
    </row>
    <row r="180" spans="1:12">
      <c r="A180" s="10"/>
      <c r="B180" s="16"/>
      <c r="C180" s="25"/>
      <c r="D180" s="25"/>
      <c r="E180" s="6"/>
      <c r="F180" s="6"/>
      <c r="G180" s="6"/>
      <c r="H180" s="6" t="str">
        <f>IFERROR(VLOOKUP(G180,'Instrument Inventory'!$A$3:$U$202,2,FALSE),"")</f>
        <v/>
      </c>
      <c r="I180" s="6" t="str">
        <f>IFERROR(VLOOKUP(G180,'Instrument Inventory'!$A$3:$U$202,10,FALSE),"")</f>
        <v/>
      </c>
      <c r="J180" s="6"/>
      <c r="K180" s="6" t="str">
        <f t="shared" si="5"/>
        <v/>
      </c>
      <c r="L180" s="11"/>
    </row>
    <row r="181" spans="1:12">
      <c r="A181" s="10"/>
      <c r="B181" s="16"/>
      <c r="C181" s="25"/>
      <c r="D181" s="25"/>
      <c r="E181" s="6"/>
      <c r="F181" s="6"/>
      <c r="G181" s="6"/>
      <c r="H181" s="6" t="str">
        <f>IFERROR(VLOOKUP(G181,'Instrument Inventory'!$A$3:$U$202,2,FALSE),"")</f>
        <v/>
      </c>
      <c r="I181" s="6" t="str">
        <f>IFERROR(VLOOKUP(G181,'Instrument Inventory'!$A$3:$U$202,10,FALSE),"")</f>
        <v/>
      </c>
      <c r="J181" s="6"/>
      <c r="K181" s="6" t="str">
        <f t="shared" si="5"/>
        <v/>
      </c>
      <c r="L181" s="11"/>
    </row>
    <row r="182" spans="1:12">
      <c r="A182" s="10"/>
      <c r="B182" s="16"/>
      <c r="C182" s="25"/>
      <c r="D182" s="25"/>
      <c r="E182" s="6"/>
      <c r="F182" s="6"/>
      <c r="G182" s="6"/>
      <c r="H182" s="6" t="str">
        <f>IFERROR(VLOOKUP(G182,'Instrument Inventory'!$A$3:$U$202,2,FALSE),"")</f>
        <v/>
      </c>
      <c r="I182" s="6" t="str">
        <f>IFERROR(VLOOKUP(G182,'Instrument Inventory'!$A$3:$U$202,10,FALSE),"")</f>
        <v/>
      </c>
      <c r="J182" s="6"/>
      <c r="K182" s="6" t="str">
        <f t="shared" si="5"/>
        <v/>
      </c>
      <c r="L182" s="11"/>
    </row>
    <row r="183" spans="1:12">
      <c r="A183" s="10"/>
      <c r="B183" s="16"/>
      <c r="C183" s="25"/>
      <c r="D183" s="25"/>
      <c r="E183" s="6"/>
      <c r="F183" s="6"/>
      <c r="G183" s="6"/>
      <c r="H183" s="6" t="str">
        <f>IFERROR(VLOOKUP(G183,'Instrument Inventory'!$A$3:$U$202,2,FALSE),"")</f>
        <v/>
      </c>
      <c r="I183" s="6" t="str">
        <f>IFERROR(VLOOKUP(G183,'Instrument Inventory'!$A$3:$U$202,10,FALSE),"")</f>
        <v/>
      </c>
      <c r="J183" s="6"/>
      <c r="K183" s="6" t="str">
        <f t="shared" si="5"/>
        <v/>
      </c>
      <c r="L183" s="11"/>
    </row>
    <row r="184" spans="1:12">
      <c r="A184" s="10"/>
      <c r="B184" s="16"/>
      <c r="C184" s="25"/>
      <c r="D184" s="25"/>
      <c r="E184" s="6"/>
      <c r="F184" s="6"/>
      <c r="G184" s="6"/>
      <c r="H184" s="6" t="str">
        <f>IFERROR(VLOOKUP(G184,'Instrument Inventory'!$A$3:$U$202,2,FALSE),"")</f>
        <v/>
      </c>
      <c r="I184" s="6" t="str">
        <f>IFERROR(VLOOKUP(G184,'Instrument Inventory'!$A$3:$U$202,10,FALSE),"")</f>
        <v/>
      </c>
      <c r="J184" s="6"/>
      <c r="K184" s="6" t="str">
        <f t="shared" si="5"/>
        <v/>
      </c>
      <c r="L184" s="11"/>
    </row>
    <row r="185" spans="1:12">
      <c r="A185" s="10"/>
      <c r="B185" s="16"/>
      <c r="C185" s="25"/>
      <c r="D185" s="25"/>
      <c r="E185" s="6"/>
      <c r="F185" s="6"/>
      <c r="G185" s="6"/>
      <c r="H185" s="6" t="str">
        <f>IFERROR(VLOOKUP(G185,'Instrument Inventory'!$A$3:$U$202,2,FALSE),"")</f>
        <v/>
      </c>
      <c r="I185" s="6" t="str">
        <f>IFERROR(VLOOKUP(G185,'Instrument Inventory'!$A$3:$U$202,10,FALSE),"")</f>
        <v/>
      </c>
      <c r="J185" s="6"/>
      <c r="K185" s="6" t="str">
        <f t="shared" si="5"/>
        <v/>
      </c>
      <c r="L185" s="11"/>
    </row>
    <row r="186" spans="1:12">
      <c r="A186" s="10"/>
      <c r="B186" s="16"/>
      <c r="C186" s="25"/>
      <c r="D186" s="25"/>
      <c r="E186" s="6"/>
      <c r="F186" s="6"/>
      <c r="G186" s="6"/>
      <c r="H186" s="6" t="str">
        <f>IFERROR(VLOOKUP(G186,'Instrument Inventory'!$A$3:$U$202,2,FALSE),"")</f>
        <v/>
      </c>
      <c r="I186" s="6" t="str">
        <f>IFERROR(VLOOKUP(G186,'Instrument Inventory'!$A$3:$U$202,10,FALSE),"")</f>
        <v/>
      </c>
      <c r="J186" s="6"/>
      <c r="K186" s="6" t="str">
        <f t="shared" si="5"/>
        <v/>
      </c>
      <c r="L186" s="11"/>
    </row>
    <row r="187" spans="1:12">
      <c r="A187" s="10"/>
      <c r="B187" s="16"/>
      <c r="C187" s="25"/>
      <c r="D187" s="25"/>
      <c r="E187" s="6"/>
      <c r="F187" s="6"/>
      <c r="G187" s="6"/>
      <c r="H187" s="6" t="str">
        <f>IFERROR(VLOOKUP(G187,'Instrument Inventory'!$A$3:$U$202,2,FALSE),"")</f>
        <v/>
      </c>
      <c r="I187" s="6" t="str">
        <f>IFERROR(VLOOKUP(G187,'Instrument Inventory'!$A$3:$U$202,10,FALSE),"")</f>
        <v/>
      </c>
      <c r="J187" s="6"/>
      <c r="K187" s="6" t="str">
        <f t="shared" si="5"/>
        <v/>
      </c>
      <c r="L187" s="11"/>
    </row>
    <row r="188" spans="1:12">
      <c r="A188" s="10"/>
      <c r="B188" s="16"/>
      <c r="C188" s="25"/>
      <c r="D188" s="25"/>
      <c r="E188" s="6"/>
      <c r="F188" s="6"/>
      <c r="G188" s="6"/>
      <c r="H188" s="6" t="str">
        <f>IFERROR(VLOOKUP(G188,'Instrument Inventory'!$A$3:$U$202,2,FALSE),"")</f>
        <v/>
      </c>
      <c r="I188" s="6" t="str">
        <f>IFERROR(VLOOKUP(G188,'Instrument Inventory'!$A$3:$U$202,10,FALSE),"")</f>
        <v/>
      </c>
      <c r="J188" s="6"/>
      <c r="K188" s="6" t="str">
        <f t="shared" si="5"/>
        <v/>
      </c>
      <c r="L188" s="11"/>
    </row>
    <row r="189" spans="1:12">
      <c r="A189" s="10"/>
      <c r="B189" s="16"/>
      <c r="C189" s="25"/>
      <c r="D189" s="25"/>
      <c r="E189" s="6"/>
      <c r="F189" s="6"/>
      <c r="G189" s="6"/>
      <c r="H189" s="6" t="str">
        <f>IFERROR(VLOOKUP(G189,'Instrument Inventory'!$A$3:$U$202,2,FALSE),"")</f>
        <v/>
      </c>
      <c r="I189" s="6" t="str">
        <f>IFERROR(VLOOKUP(G189,'Instrument Inventory'!$A$3:$U$202,10,FALSE),"")</f>
        <v/>
      </c>
      <c r="J189" s="6"/>
      <c r="K189" s="6" t="str">
        <f t="shared" si="5"/>
        <v/>
      </c>
      <c r="L189" s="11"/>
    </row>
    <row r="190" spans="1:12">
      <c r="A190" s="10"/>
      <c r="B190" s="16"/>
      <c r="C190" s="25"/>
      <c r="D190" s="25"/>
      <c r="E190" s="6"/>
      <c r="F190" s="6"/>
      <c r="G190" s="6"/>
      <c r="H190" s="6" t="str">
        <f>IFERROR(VLOOKUP(G190,'Instrument Inventory'!$A$3:$U$202,2,FALSE),"")</f>
        <v/>
      </c>
      <c r="I190" s="6" t="str">
        <f>IFERROR(VLOOKUP(G190,'Instrument Inventory'!$A$3:$U$202,10,FALSE),"")</f>
        <v/>
      </c>
      <c r="J190" s="6"/>
      <c r="K190" s="6" t="str">
        <f t="shared" si="5"/>
        <v/>
      </c>
      <c r="L190" s="11"/>
    </row>
    <row r="191" spans="1:12">
      <c r="A191" s="10"/>
      <c r="B191" s="16"/>
      <c r="C191" s="25"/>
      <c r="D191" s="25"/>
      <c r="E191" s="6"/>
      <c r="F191" s="6"/>
      <c r="G191" s="6"/>
      <c r="H191" s="6" t="str">
        <f>IFERROR(VLOOKUP(G191,'Instrument Inventory'!$A$3:$U$202,2,FALSE),"")</f>
        <v/>
      </c>
      <c r="I191" s="6" t="str">
        <f>IFERROR(VLOOKUP(G191,'Instrument Inventory'!$A$3:$U$202,10,FALSE),"")</f>
        <v/>
      </c>
      <c r="J191" s="6"/>
      <c r="K191" s="6" t="str">
        <f t="shared" si="5"/>
        <v/>
      </c>
      <c r="L191" s="11"/>
    </row>
    <row r="192" spans="1:12">
      <c r="A192" s="10"/>
      <c r="B192" s="16"/>
      <c r="C192" s="25"/>
      <c r="D192" s="25"/>
      <c r="E192" s="6"/>
      <c r="F192" s="6"/>
      <c r="G192" s="6"/>
      <c r="H192" s="6" t="str">
        <f>IFERROR(VLOOKUP(G192,'Instrument Inventory'!$A$3:$U$202,2,FALSE),"")</f>
        <v/>
      </c>
      <c r="I192" s="6" t="str">
        <f>IFERROR(VLOOKUP(G192,'Instrument Inventory'!$A$3:$U$202,10,FALSE),"")</f>
        <v/>
      </c>
      <c r="J192" s="6"/>
      <c r="K192" s="6" t="str">
        <f t="shared" si="5"/>
        <v/>
      </c>
      <c r="L192" s="11"/>
    </row>
    <row r="193" spans="1:12">
      <c r="A193" s="10"/>
      <c r="B193" s="16"/>
      <c r="C193" s="25"/>
      <c r="D193" s="25"/>
      <c r="E193" s="6"/>
      <c r="F193" s="6"/>
      <c r="G193" s="6"/>
      <c r="H193" s="6" t="str">
        <f>IFERROR(VLOOKUP(G193,'Instrument Inventory'!$A$3:$U$202,2,FALSE),"")</f>
        <v/>
      </c>
      <c r="I193" s="6" t="str">
        <f>IFERROR(VLOOKUP(G193,'Instrument Inventory'!$A$3:$U$202,10,FALSE),"")</f>
        <v/>
      </c>
      <c r="J193" s="6"/>
      <c r="K193" s="6" t="str">
        <f t="shared" si="5"/>
        <v/>
      </c>
      <c r="L193" s="11"/>
    </row>
    <row r="194" spans="1:12">
      <c r="A194" s="10"/>
      <c r="B194" s="16"/>
      <c r="C194" s="25"/>
      <c r="D194" s="25"/>
      <c r="E194" s="6"/>
      <c r="F194" s="6"/>
      <c r="G194" s="6"/>
      <c r="H194" s="6" t="str">
        <f>IFERROR(VLOOKUP(G194,'Instrument Inventory'!$A$3:$U$202,2,FALSE),"")</f>
        <v/>
      </c>
      <c r="I194" s="6" t="str">
        <f>IFERROR(VLOOKUP(G194,'Instrument Inventory'!$A$3:$U$202,10,FALSE),"")</f>
        <v/>
      </c>
      <c r="J194" s="6"/>
      <c r="K194" s="6" t="str">
        <f t="shared" si="5"/>
        <v/>
      </c>
      <c r="L194" s="11"/>
    </row>
    <row r="195" spans="1:12">
      <c r="A195" s="10"/>
      <c r="B195" s="16"/>
      <c r="C195" s="25"/>
      <c r="D195" s="25"/>
      <c r="E195" s="6"/>
      <c r="F195" s="6"/>
      <c r="G195" s="6"/>
      <c r="H195" s="6" t="str">
        <f>IFERROR(VLOOKUP(G195,'Instrument Inventory'!$A$3:$U$202,2,FALSE),"")</f>
        <v/>
      </c>
      <c r="I195" s="6" t="str">
        <f>IFERROR(VLOOKUP(G195,'Instrument Inventory'!$A$3:$U$202,10,FALSE),"")</f>
        <v/>
      </c>
      <c r="J195" s="6"/>
      <c r="K195" s="6" t="str">
        <f t="shared" ref="K195:K202" si="6">IF(OR(B195="",C195="",D195="",G195=""),"",IF(COUNTIFS($B$3:$B$202,B195,$G$3:$G$202,G195,$C$3:$C$202,"&lt;"&amp;D195,$D$3:$D$202,"&gt;"&amp;C195)&gt;1,"CONFLICT","OK"))</f>
        <v/>
      </c>
      <c r="L195" s="11"/>
    </row>
    <row r="196" spans="1:12">
      <c r="A196" s="10"/>
      <c r="B196" s="16"/>
      <c r="C196" s="25"/>
      <c r="D196" s="25"/>
      <c r="E196" s="6"/>
      <c r="F196" s="6"/>
      <c r="G196" s="6"/>
      <c r="H196" s="6" t="str">
        <f>IFERROR(VLOOKUP(G196,'Instrument Inventory'!$A$3:$U$202,2,FALSE),"")</f>
        <v/>
      </c>
      <c r="I196" s="6" t="str">
        <f>IFERROR(VLOOKUP(G196,'Instrument Inventory'!$A$3:$U$202,10,FALSE),"")</f>
        <v/>
      </c>
      <c r="J196" s="6"/>
      <c r="K196" s="6" t="str">
        <f t="shared" si="6"/>
        <v/>
      </c>
      <c r="L196" s="11"/>
    </row>
    <row r="197" spans="1:12">
      <c r="A197" s="10"/>
      <c r="B197" s="16"/>
      <c r="C197" s="25"/>
      <c r="D197" s="25"/>
      <c r="E197" s="6"/>
      <c r="F197" s="6"/>
      <c r="G197" s="6"/>
      <c r="H197" s="6" t="str">
        <f>IFERROR(VLOOKUP(G197,'Instrument Inventory'!$A$3:$U$202,2,FALSE),"")</f>
        <v/>
      </c>
      <c r="I197" s="6" t="str">
        <f>IFERROR(VLOOKUP(G197,'Instrument Inventory'!$A$3:$U$202,10,FALSE),"")</f>
        <v/>
      </c>
      <c r="J197" s="6"/>
      <c r="K197" s="6" t="str">
        <f t="shared" si="6"/>
        <v/>
      </c>
      <c r="L197" s="11"/>
    </row>
    <row r="198" spans="1:12">
      <c r="A198" s="10"/>
      <c r="B198" s="16"/>
      <c r="C198" s="25"/>
      <c r="D198" s="25"/>
      <c r="E198" s="6"/>
      <c r="F198" s="6"/>
      <c r="G198" s="6"/>
      <c r="H198" s="6" t="str">
        <f>IFERROR(VLOOKUP(G198,'Instrument Inventory'!$A$3:$U$202,2,FALSE),"")</f>
        <v/>
      </c>
      <c r="I198" s="6" t="str">
        <f>IFERROR(VLOOKUP(G198,'Instrument Inventory'!$A$3:$U$202,10,FALSE),"")</f>
        <v/>
      </c>
      <c r="J198" s="6"/>
      <c r="K198" s="6" t="str">
        <f t="shared" si="6"/>
        <v/>
      </c>
      <c r="L198" s="11"/>
    </row>
    <row r="199" spans="1:12">
      <c r="A199" s="10"/>
      <c r="B199" s="16"/>
      <c r="C199" s="25"/>
      <c r="D199" s="25"/>
      <c r="E199" s="6"/>
      <c r="F199" s="6"/>
      <c r="G199" s="6"/>
      <c r="H199" s="6" t="str">
        <f>IFERROR(VLOOKUP(G199,'Instrument Inventory'!$A$3:$U$202,2,FALSE),"")</f>
        <v/>
      </c>
      <c r="I199" s="6" t="str">
        <f>IFERROR(VLOOKUP(G199,'Instrument Inventory'!$A$3:$U$202,10,FALSE),"")</f>
        <v/>
      </c>
      <c r="J199" s="6"/>
      <c r="K199" s="6" t="str">
        <f t="shared" si="6"/>
        <v/>
      </c>
      <c r="L199" s="11"/>
    </row>
    <row r="200" spans="1:12">
      <c r="A200" s="10"/>
      <c r="B200" s="16"/>
      <c r="C200" s="25"/>
      <c r="D200" s="25"/>
      <c r="E200" s="6"/>
      <c r="F200" s="6"/>
      <c r="G200" s="6"/>
      <c r="H200" s="6" t="str">
        <f>IFERROR(VLOOKUP(G200,'Instrument Inventory'!$A$3:$U$202,2,FALSE),"")</f>
        <v/>
      </c>
      <c r="I200" s="6" t="str">
        <f>IFERROR(VLOOKUP(G200,'Instrument Inventory'!$A$3:$U$202,10,FALSE),"")</f>
        <v/>
      </c>
      <c r="J200" s="6"/>
      <c r="K200" s="6" t="str">
        <f t="shared" si="6"/>
        <v/>
      </c>
      <c r="L200" s="11"/>
    </row>
    <row r="201" spans="1:12">
      <c r="A201" s="10"/>
      <c r="B201" s="16"/>
      <c r="C201" s="25"/>
      <c r="D201" s="25"/>
      <c r="E201" s="6"/>
      <c r="F201" s="6"/>
      <c r="G201" s="6"/>
      <c r="H201" s="6" t="str">
        <f>IFERROR(VLOOKUP(G201,'Instrument Inventory'!$A$3:$U$202,2,FALSE),"")</f>
        <v/>
      </c>
      <c r="I201" s="6" t="str">
        <f>IFERROR(VLOOKUP(G201,'Instrument Inventory'!$A$3:$U$202,10,FALSE),"")</f>
        <v/>
      </c>
      <c r="J201" s="6"/>
      <c r="K201" s="6" t="str">
        <f t="shared" si="6"/>
        <v/>
      </c>
      <c r="L201" s="11"/>
    </row>
    <row r="202" spans="1:12">
      <c r="A202" s="12"/>
      <c r="B202" s="17"/>
      <c r="C202" s="26"/>
      <c r="D202" s="26"/>
      <c r="E202" s="13"/>
      <c r="F202" s="13"/>
      <c r="G202" s="13"/>
      <c r="H202" s="13" t="str">
        <f>IFERROR(VLOOKUP(G202,'Instrument Inventory'!$A$3:$U$202,2,FALSE),"")</f>
        <v/>
      </c>
      <c r="I202" s="13" t="str">
        <f>IFERROR(VLOOKUP(G202,'Instrument Inventory'!$A$3:$U$202,10,FALSE),"")</f>
        <v/>
      </c>
      <c r="J202" s="13"/>
      <c r="K202" s="13" t="str">
        <f t="shared" si="6"/>
        <v/>
      </c>
      <c r="L202" s="14"/>
    </row>
  </sheetData>
  <mergeCells count="1">
    <mergeCell ref="A1:L1"/>
  </mergeCells>
  <conditionalFormatting sqref="I3:I202">
    <cfRule type="expression" dxfId="3" priority="4">
      <formula>AND(I3&lt;&gt;"",I3&lt;&gt;"Operational")</formula>
    </cfRule>
  </conditionalFormatting>
  <conditionalFormatting sqref="J3:J202">
    <cfRule type="expression" dxfId="2" priority="2">
      <formula>J3="Requested"</formula>
    </cfRule>
    <cfRule type="expression" dxfId="1" priority="3">
      <formula>J3="Approved"</formula>
    </cfRule>
  </conditionalFormatting>
  <conditionalFormatting sqref="K3:K202">
    <cfRule type="expression" dxfId="0" priority="1">
      <formula>K3="CONFLICT"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500-000000000000}">
          <x14:formula1>
            <xm:f>Lists!$E$4:$E$7</xm:f>
          </x14:formula1>
          <xm:sqref>J3:J202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6"/>
  <sheetViews>
    <sheetView workbookViewId="0"/>
  </sheetViews>
  <sheetFormatPr defaultRowHeight="13.5"/>
  <cols>
    <col min="1" max="1" width="16" customWidth="1"/>
    <col min="2" max="8" width="20" customWidth="1"/>
  </cols>
  <sheetData>
    <row r="1" spans="1:8" ht="15" customHeight="1">
      <c r="A1" s="39" t="s">
        <v>96</v>
      </c>
      <c r="B1" s="39"/>
      <c r="C1" s="39"/>
      <c r="D1" s="39"/>
      <c r="E1" s="39"/>
      <c r="F1" s="39"/>
      <c r="G1" s="39"/>
      <c r="H1" s="39"/>
    </row>
    <row r="2" spans="1:8" ht="13.9">
      <c r="A2" s="2" t="s">
        <v>97</v>
      </c>
      <c r="B2" s="3" t="s">
        <v>98</v>
      </c>
      <c r="C2" s="3" t="s">
        <v>99</v>
      </c>
      <c r="D2" s="3" t="s">
        <v>100</v>
      </c>
      <c r="E2" s="3" t="s">
        <v>101</v>
      </c>
      <c r="F2" s="3" t="s">
        <v>102</v>
      </c>
      <c r="G2" s="3" t="s">
        <v>103</v>
      </c>
      <c r="H2" s="4" t="s">
        <v>104</v>
      </c>
    </row>
    <row r="3" spans="1:8">
      <c r="A3" s="7" t="s">
        <v>105</v>
      </c>
      <c r="B3" s="8"/>
      <c r="C3" s="8"/>
      <c r="D3" s="8"/>
      <c r="E3" s="8"/>
      <c r="F3" s="8"/>
      <c r="G3" s="8"/>
      <c r="H3" s="9"/>
    </row>
    <row r="4" spans="1:8">
      <c r="A4" s="10" t="s">
        <v>106</v>
      </c>
      <c r="B4" s="6"/>
      <c r="C4" s="6"/>
      <c r="D4" s="6"/>
      <c r="E4" s="6"/>
      <c r="F4" s="6"/>
      <c r="G4" s="6"/>
      <c r="H4" s="11"/>
    </row>
    <row r="5" spans="1:8">
      <c r="A5" s="10" t="s">
        <v>107</v>
      </c>
      <c r="B5" s="6"/>
      <c r="C5" s="6"/>
      <c r="D5" s="6"/>
      <c r="E5" s="6"/>
      <c r="F5" s="6"/>
      <c r="G5" s="6"/>
      <c r="H5" s="11"/>
    </row>
    <row r="6" spans="1:8">
      <c r="A6" s="10" t="s">
        <v>108</v>
      </c>
      <c r="B6" s="6"/>
      <c r="C6" s="6"/>
      <c r="D6" s="6"/>
      <c r="E6" s="6"/>
      <c r="F6" s="6"/>
      <c r="G6" s="6"/>
      <c r="H6" s="11"/>
    </row>
    <row r="7" spans="1:8">
      <c r="A7" s="10" t="s">
        <v>109</v>
      </c>
      <c r="B7" s="6"/>
      <c r="C7" s="6"/>
      <c r="D7" s="6"/>
      <c r="E7" s="6"/>
      <c r="F7" s="6"/>
      <c r="G7" s="6"/>
      <c r="H7" s="11"/>
    </row>
    <row r="8" spans="1:8">
      <c r="A8" s="10" t="s">
        <v>110</v>
      </c>
      <c r="B8" s="6"/>
      <c r="C8" s="6"/>
      <c r="D8" s="6"/>
      <c r="E8" s="6"/>
      <c r="F8" s="6"/>
      <c r="G8" s="6"/>
      <c r="H8" s="11"/>
    </row>
    <row r="9" spans="1:8">
      <c r="A9" s="10" t="s">
        <v>111</v>
      </c>
      <c r="B9" s="6"/>
      <c r="C9" s="6"/>
      <c r="D9" s="6"/>
      <c r="E9" s="6"/>
      <c r="F9" s="6"/>
      <c r="G9" s="6"/>
      <c r="H9" s="11"/>
    </row>
    <row r="10" spans="1:8">
      <c r="A10" s="10" t="s">
        <v>112</v>
      </c>
      <c r="B10" s="6"/>
      <c r="C10" s="6"/>
      <c r="D10" s="6"/>
      <c r="E10" s="6"/>
      <c r="F10" s="6"/>
      <c r="G10" s="6"/>
      <c r="H10" s="11"/>
    </row>
    <row r="11" spans="1:8">
      <c r="A11" s="10" t="s">
        <v>113</v>
      </c>
      <c r="B11" s="6"/>
      <c r="C11" s="6"/>
      <c r="D11" s="6"/>
      <c r="E11" s="6"/>
      <c r="F11" s="6"/>
      <c r="G11" s="6"/>
      <c r="H11" s="11"/>
    </row>
    <row r="12" spans="1:8">
      <c r="A12" s="12" t="s">
        <v>114</v>
      </c>
      <c r="B12" s="13"/>
      <c r="C12" s="13"/>
      <c r="D12" s="13"/>
      <c r="E12" s="13"/>
      <c r="F12" s="13"/>
      <c r="G12" s="13"/>
      <c r="H12" s="14"/>
    </row>
    <row r="14" spans="1:8" ht="13.9">
      <c r="A14" s="42" t="s">
        <v>115</v>
      </c>
      <c r="B14" s="42"/>
      <c r="C14" s="42"/>
      <c r="D14" s="42"/>
      <c r="E14" s="42"/>
      <c r="F14" s="42"/>
      <c r="G14" s="42"/>
      <c r="H14" s="42"/>
    </row>
    <row r="15" spans="1:8">
      <c r="A15" s="41" t="s">
        <v>116</v>
      </c>
      <c r="B15" s="41"/>
      <c r="C15" s="41"/>
      <c r="D15" s="41"/>
      <c r="E15" s="41"/>
      <c r="F15" s="41"/>
      <c r="G15" s="41"/>
      <c r="H15" s="41"/>
    </row>
    <row r="16" spans="1:8">
      <c r="A16" s="41"/>
      <c r="B16" s="41"/>
      <c r="C16" s="41"/>
      <c r="D16" s="41"/>
      <c r="E16" s="41"/>
      <c r="F16" s="41"/>
      <c r="G16" s="41"/>
      <c r="H16" s="41"/>
    </row>
  </sheetData>
  <mergeCells count="3">
    <mergeCell ref="A1:H1"/>
    <mergeCell ref="A14:H14"/>
    <mergeCell ref="A15:H1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2"/>
  <sheetViews>
    <sheetView workbookViewId="0"/>
  </sheetViews>
  <sheetFormatPr defaultRowHeight="13.5"/>
  <cols>
    <col min="1" max="8" width="22" customWidth="1"/>
  </cols>
  <sheetData>
    <row r="1" spans="1:8" ht="15" customHeight="1">
      <c r="A1" s="39" t="s">
        <v>117</v>
      </c>
      <c r="B1" s="39"/>
      <c r="C1" s="39"/>
      <c r="D1" s="39"/>
      <c r="E1" s="39"/>
      <c r="F1" s="39"/>
      <c r="G1" s="39"/>
      <c r="H1" s="39"/>
    </row>
    <row r="3" spans="1:8" ht="13.9">
      <c r="A3" s="1" t="s">
        <v>118</v>
      </c>
      <c r="B3" s="1" t="s">
        <v>36</v>
      </c>
      <c r="C3" s="1" t="s">
        <v>119</v>
      </c>
      <c r="D3" s="1" t="s">
        <v>21</v>
      </c>
      <c r="E3" s="1" t="s">
        <v>120</v>
      </c>
      <c r="F3" s="1" t="s">
        <v>121</v>
      </c>
      <c r="G3" s="1" t="s">
        <v>122</v>
      </c>
      <c r="H3" s="1" t="s">
        <v>123</v>
      </c>
    </row>
    <row r="4" spans="1:8">
      <c r="A4" t="s">
        <v>124</v>
      </c>
      <c r="B4" t="s">
        <v>125</v>
      </c>
      <c r="C4" t="s">
        <v>126</v>
      </c>
      <c r="D4" t="s">
        <v>9</v>
      </c>
      <c r="E4" t="s">
        <v>127</v>
      </c>
      <c r="F4" t="s">
        <v>128</v>
      </c>
      <c r="G4" t="s">
        <v>129</v>
      </c>
      <c r="H4" t="s">
        <v>130</v>
      </c>
    </row>
    <row r="5" spans="1:8">
      <c r="A5" t="s">
        <v>131</v>
      </c>
      <c r="B5" t="s">
        <v>132</v>
      </c>
      <c r="C5" t="s">
        <v>133</v>
      </c>
      <c r="D5" t="s">
        <v>134</v>
      </c>
      <c r="E5" t="s">
        <v>135</v>
      </c>
      <c r="F5" t="s">
        <v>136</v>
      </c>
      <c r="G5" t="s">
        <v>137</v>
      </c>
      <c r="H5" t="s">
        <v>138</v>
      </c>
    </row>
    <row r="6" spans="1:8">
      <c r="A6" t="s">
        <v>139</v>
      </c>
      <c r="B6" t="s">
        <v>140</v>
      </c>
      <c r="D6" t="s">
        <v>12</v>
      </c>
      <c r="E6" t="s">
        <v>141</v>
      </c>
      <c r="F6" t="s">
        <v>142</v>
      </c>
      <c r="G6" t="s">
        <v>143</v>
      </c>
      <c r="H6" t="s">
        <v>144</v>
      </c>
    </row>
    <row r="7" spans="1:8">
      <c r="A7" t="s">
        <v>145</v>
      </c>
      <c r="B7" t="s">
        <v>146</v>
      </c>
      <c r="D7" t="s">
        <v>15</v>
      </c>
      <c r="E7" t="s">
        <v>147</v>
      </c>
      <c r="F7" t="s">
        <v>148</v>
      </c>
      <c r="G7" t="s">
        <v>149</v>
      </c>
      <c r="H7" t="s">
        <v>150</v>
      </c>
    </row>
    <row r="8" spans="1:8">
      <c r="A8" t="s">
        <v>151</v>
      </c>
      <c r="B8" t="s">
        <v>152</v>
      </c>
      <c r="D8" t="s">
        <v>25</v>
      </c>
      <c r="G8" t="s">
        <v>153</v>
      </c>
      <c r="H8" t="s">
        <v>154</v>
      </c>
    </row>
    <row r="9" spans="1:8">
      <c r="A9" t="s">
        <v>155</v>
      </c>
      <c r="B9" t="s">
        <v>156</v>
      </c>
      <c r="D9" t="s">
        <v>157</v>
      </c>
      <c r="G9" t="s">
        <v>158</v>
      </c>
    </row>
    <row r="10" spans="1:8">
      <c r="A10" t="s">
        <v>159</v>
      </c>
      <c r="B10" t="s">
        <v>160</v>
      </c>
      <c r="G10" t="s">
        <v>161</v>
      </c>
    </row>
    <row r="11" spans="1:8">
      <c r="B11" t="s">
        <v>162</v>
      </c>
      <c r="G11" t="s">
        <v>163</v>
      </c>
    </row>
    <row r="12" spans="1:8">
      <c r="B12" t="s">
        <v>164</v>
      </c>
      <c r="G12" t="s">
        <v>164</v>
      </c>
    </row>
  </sheetData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9"/>
  <sheetViews>
    <sheetView workbookViewId="0"/>
  </sheetViews>
  <sheetFormatPr defaultRowHeight="13.5"/>
  <cols>
    <col min="1" max="8" width="18" customWidth="1"/>
  </cols>
  <sheetData>
    <row r="1" spans="1:8" ht="15" customHeight="1">
      <c r="A1" s="39" t="s">
        <v>165</v>
      </c>
      <c r="B1" s="39"/>
      <c r="C1" s="39"/>
      <c r="D1" s="39"/>
      <c r="E1" s="39"/>
      <c r="F1" s="39"/>
      <c r="G1" s="39"/>
      <c r="H1" s="39"/>
    </row>
    <row r="3" spans="1:8" ht="13.9">
      <c r="A3" s="43" t="s">
        <v>166</v>
      </c>
      <c r="B3" s="43"/>
      <c r="C3" s="43"/>
      <c r="D3" s="43"/>
      <c r="E3" s="43"/>
      <c r="F3" s="43"/>
      <c r="G3" s="43"/>
      <c r="H3" s="43"/>
    </row>
    <row r="4" spans="1:8">
      <c r="A4" s="41" t="s">
        <v>167</v>
      </c>
      <c r="B4" s="41"/>
      <c r="C4" s="41"/>
      <c r="D4" s="41"/>
      <c r="E4" s="41"/>
      <c r="F4" s="41"/>
      <c r="G4" s="41"/>
      <c r="H4" s="41"/>
    </row>
    <row r="5" spans="1:8">
      <c r="A5" s="5"/>
      <c r="B5" s="5"/>
      <c r="C5" s="5"/>
      <c r="D5" s="5"/>
      <c r="E5" s="5"/>
      <c r="F5" s="5"/>
      <c r="G5" s="5"/>
      <c r="H5" s="5"/>
    </row>
    <row r="6" spans="1:8" ht="13.9">
      <c r="A6" s="43" t="s">
        <v>168</v>
      </c>
      <c r="B6" s="43"/>
      <c r="C6" s="43"/>
      <c r="D6" s="43"/>
      <c r="E6" s="43"/>
      <c r="F6" s="43"/>
      <c r="G6" s="43"/>
      <c r="H6" s="43"/>
    </row>
    <row r="7" spans="1:8">
      <c r="A7" s="41" t="s">
        <v>169</v>
      </c>
      <c r="B7" s="41"/>
      <c r="C7" s="41"/>
      <c r="D7" s="41"/>
      <c r="E7" s="41"/>
      <c r="F7" s="41"/>
      <c r="G7" s="41"/>
      <c r="H7" s="41"/>
    </row>
    <row r="8" spans="1:8">
      <c r="A8" s="41" t="s">
        <v>170</v>
      </c>
      <c r="B8" s="41"/>
      <c r="C8" s="41"/>
      <c r="D8" s="41"/>
      <c r="E8" s="41"/>
      <c r="F8" s="41"/>
      <c r="G8" s="41"/>
      <c r="H8" s="41"/>
    </row>
    <row r="9" spans="1:8">
      <c r="A9" s="41" t="s">
        <v>171</v>
      </c>
      <c r="B9" s="41"/>
      <c r="C9" s="41"/>
      <c r="D9" s="41"/>
      <c r="E9" s="41"/>
      <c r="F9" s="41"/>
      <c r="G9" s="41"/>
      <c r="H9" s="41"/>
    </row>
    <row r="10" spans="1:8">
      <c r="A10" s="41" t="s">
        <v>172</v>
      </c>
      <c r="B10" s="41"/>
      <c r="C10" s="41"/>
      <c r="D10" s="41"/>
      <c r="E10" s="41"/>
      <c r="F10" s="41"/>
      <c r="G10" s="41"/>
      <c r="H10" s="41"/>
    </row>
    <row r="11" spans="1:8">
      <c r="A11" s="41" t="s">
        <v>173</v>
      </c>
      <c r="B11" s="41"/>
      <c r="C11" s="41"/>
      <c r="D11" s="41"/>
      <c r="E11" s="41"/>
      <c r="F11" s="41"/>
      <c r="G11" s="41"/>
      <c r="H11" s="41"/>
    </row>
    <row r="12" spans="1:8">
      <c r="A12" s="41" t="s">
        <v>174</v>
      </c>
      <c r="B12" s="41"/>
      <c r="C12" s="41"/>
      <c r="D12" s="41"/>
      <c r="E12" s="41"/>
      <c r="F12" s="41"/>
      <c r="G12" s="41"/>
      <c r="H12" s="41"/>
    </row>
    <row r="13" spans="1:8">
      <c r="A13" s="5"/>
      <c r="B13" s="5"/>
      <c r="C13" s="5"/>
      <c r="D13" s="5"/>
      <c r="E13" s="5"/>
      <c r="F13" s="5"/>
      <c r="G13" s="5"/>
      <c r="H13" s="5"/>
    </row>
    <row r="14" spans="1:8" ht="13.9">
      <c r="A14" s="44" t="s">
        <v>175</v>
      </c>
      <c r="B14" s="44"/>
      <c r="C14" s="44"/>
      <c r="D14" s="44"/>
      <c r="E14" s="44"/>
      <c r="F14" s="44"/>
      <c r="G14" s="44"/>
      <c r="H14" s="44"/>
    </row>
    <row r="15" spans="1:8">
      <c r="A15" s="45" t="s">
        <v>176</v>
      </c>
      <c r="B15" s="45"/>
      <c r="C15" s="45"/>
      <c r="D15" s="45"/>
      <c r="E15" s="45"/>
      <c r="F15" s="45"/>
      <c r="G15" s="45"/>
      <c r="H15" s="45"/>
    </row>
    <row r="16" spans="1:8">
      <c r="A16" s="45"/>
      <c r="B16" s="45"/>
      <c r="C16" s="45"/>
      <c r="D16" s="45"/>
      <c r="E16" s="45"/>
      <c r="F16" s="45"/>
      <c r="G16" s="45"/>
      <c r="H16" s="45"/>
    </row>
    <row r="17" spans="1:8">
      <c r="A17" s="45"/>
      <c r="B17" s="45"/>
      <c r="C17" s="45"/>
      <c r="D17" s="45"/>
      <c r="E17" s="45"/>
      <c r="F17" s="45"/>
      <c r="G17" s="45"/>
      <c r="H17" s="45"/>
    </row>
    <row r="18" spans="1:8">
      <c r="A18" s="46" t="s">
        <v>177</v>
      </c>
      <c r="B18" s="46"/>
      <c r="C18" s="46"/>
      <c r="D18" s="46"/>
      <c r="E18" s="46"/>
      <c r="F18" s="46"/>
      <c r="G18" s="46"/>
      <c r="H18" s="46"/>
    </row>
    <row r="19" spans="1:8">
      <c r="A19" s="46"/>
      <c r="B19" s="46"/>
      <c r="C19" s="46"/>
      <c r="D19" s="46"/>
      <c r="E19" s="46"/>
      <c r="F19" s="46"/>
      <c r="G19" s="46"/>
      <c r="H19" s="46"/>
    </row>
  </sheetData>
  <mergeCells count="13">
    <mergeCell ref="A14:H14"/>
    <mergeCell ref="A15:H17"/>
    <mergeCell ref="A18:H19"/>
    <mergeCell ref="A8:H8"/>
    <mergeCell ref="A9:H9"/>
    <mergeCell ref="A10:H10"/>
    <mergeCell ref="A11:H11"/>
    <mergeCell ref="A12:H12"/>
    <mergeCell ref="A1:H1"/>
    <mergeCell ref="A3:H3"/>
    <mergeCell ref="A4:H4"/>
    <mergeCell ref="A6:H6"/>
    <mergeCell ref="A7:H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Dashboard</vt:lpstr>
      <vt:lpstr>Chemical Inventory</vt:lpstr>
      <vt:lpstr>Chemical Usage Log</vt:lpstr>
      <vt:lpstr>Instrument Inventory</vt:lpstr>
      <vt:lpstr>Maintenance Log</vt:lpstr>
      <vt:lpstr>Lab Booking</vt:lpstr>
      <vt:lpstr>Weekly Planner</vt:lpstr>
      <vt:lpstr>Lists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HIN SOPHEA</cp:lastModifiedBy>
  <dcterms:modified xsi:type="dcterms:W3CDTF">2026-09-11T08:03:02Z</dcterms:modified>
</cp:coreProperties>
</file>